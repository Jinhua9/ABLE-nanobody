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noGONG/Desktop/8.Paper_draft/Paper_materials/Version13_full_NC/4.Github_materials/"/>
    </mc:Choice>
  </mc:AlternateContent>
  <xr:revisionPtr revIDLastSave="0" documentId="13_ncr:1_{D1EAFED2-E5BE-DF42-87FB-A6C0F5314B64}" xr6:coauthVersionLast="47" xr6:coauthVersionMax="47" xr10:uidLastSave="{00000000-0000-0000-0000-000000000000}"/>
  <bookViews>
    <workbookView xWindow="-76800" yWindow="620" windowWidth="38400" windowHeight="20980" xr2:uid="{0674E527-E1AB-E348-9FF3-CA6262F7D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L87" i="1"/>
  <c r="AC87" i="1" s="1"/>
  <c r="L86" i="1"/>
  <c r="AC86" i="1" s="1"/>
  <c r="L85" i="1" l="1"/>
  <c r="AC85" i="1" s="1"/>
  <c r="L84" i="1"/>
  <c r="AC84" i="1" s="1"/>
  <c r="L83" i="1"/>
  <c r="AC83" i="1" s="1"/>
  <c r="L82" i="1"/>
  <c r="AC82" i="1" s="1"/>
  <c r="L81" i="1"/>
  <c r="AC81" i="1" s="1"/>
  <c r="S29" i="1" l="1"/>
  <c r="AC29" i="1" s="1"/>
</calcChain>
</file>

<file path=xl/sharedStrings.xml><?xml version="1.0" encoding="utf-8"?>
<sst xmlns="http://schemas.openxmlformats.org/spreadsheetml/2006/main" count="437" uniqueCount="237">
  <si>
    <t>7D12–9G8</t>
  </si>
  <si>
    <t>9G8–7D12</t>
  </si>
  <si>
    <t>aRBD-2-5</t>
  </si>
  <si>
    <t>aRBD-2-7</t>
  </si>
  <si>
    <t>B11-H2-Fc</t>
  </si>
  <si>
    <t>Bi-VHH23-1</t>
  </si>
  <si>
    <t>Bi-VHH56-1</t>
  </si>
  <si>
    <t>Bi-VHH56-23</t>
  </si>
  <si>
    <t>BsG3-BsG105</t>
  </si>
  <si>
    <t>BsG3-BsG73</t>
  </si>
  <si>
    <t>BsG3-BsG89</t>
  </si>
  <si>
    <t>BsG3-BsG98</t>
  </si>
  <si>
    <t>Diab-D1</t>
  </si>
  <si>
    <t>F2E5</t>
  </si>
  <si>
    <t>G1E5</t>
  </si>
  <si>
    <t>GS4</t>
  </si>
  <si>
    <t>JJX21</t>
  </si>
  <si>
    <t>JM-17-18</t>
  </si>
  <si>
    <t>JM-2-17</t>
  </si>
  <si>
    <t>JM-2-18</t>
  </si>
  <si>
    <t>JM-2-5</t>
  </si>
  <si>
    <t>JM-5-18</t>
  </si>
  <si>
    <t>JNA10</t>
  </si>
  <si>
    <t>JNA14</t>
  </si>
  <si>
    <t>NbC21</t>
  </si>
  <si>
    <t>NbT</t>
  </si>
  <si>
    <t>scFv13-GS30-VHH43</t>
  </si>
  <si>
    <t>T5-T3</t>
  </si>
  <si>
    <t>VHH EV</t>
  </si>
  <si>
    <t>VHH VE</t>
  </si>
  <si>
    <t>VNA2-PA</t>
  </si>
  <si>
    <t>BsS3-BsS11</t>
    <phoneticPr fontId="1" type="noConversion"/>
  </si>
  <si>
    <t>BsS3-BsS18</t>
    <phoneticPr fontId="1" type="noConversion"/>
  </si>
  <si>
    <t>BsS3-BsS29</t>
    <phoneticPr fontId="1" type="noConversion"/>
  </si>
  <si>
    <t>BsS11-BsS18</t>
    <phoneticPr fontId="1" type="noConversion"/>
  </si>
  <si>
    <t>BsS11-BsS29</t>
    <phoneticPr fontId="1" type="noConversion"/>
  </si>
  <si>
    <t>BBsR1</t>
  </si>
  <si>
    <t>BBsR3</t>
  </si>
  <si>
    <t>BBsR4</t>
  </si>
  <si>
    <t>BBsR6</t>
  </si>
  <si>
    <t>BBsR7</t>
  </si>
  <si>
    <t>BBsR8</t>
  </si>
  <si>
    <t>BBsR9</t>
  </si>
  <si>
    <t>BBsR11</t>
  </si>
  <si>
    <t>BBsR12</t>
  </si>
  <si>
    <t>BBsR13</t>
  </si>
  <si>
    <t>BBsR14</t>
  </si>
  <si>
    <t>BBsR17</t>
    <phoneticPr fontId="1" type="noConversion"/>
  </si>
  <si>
    <t>BBsR18</t>
  </si>
  <si>
    <t>BBsR19</t>
  </si>
  <si>
    <t>BBsR20</t>
  </si>
  <si>
    <t>BBsR21</t>
  </si>
  <si>
    <t>BBsR22</t>
    <phoneticPr fontId="1" type="noConversion"/>
  </si>
  <si>
    <t>BBsR24</t>
  </si>
  <si>
    <t>BBsR25</t>
  </si>
  <si>
    <t>BBsR26</t>
  </si>
  <si>
    <t>BBsR28</t>
  </si>
  <si>
    <t>BBsR29</t>
  </si>
  <si>
    <t>BBsR37</t>
  </si>
  <si>
    <t>BBsC4</t>
  </si>
  <si>
    <t>BBsC5</t>
  </si>
  <si>
    <t>BBsC6</t>
  </si>
  <si>
    <t>BBsC7</t>
  </si>
  <si>
    <t>BBsC8</t>
  </si>
  <si>
    <t>BBsC9</t>
  </si>
  <si>
    <t>BBsC17</t>
  </si>
  <si>
    <t>BBsC18</t>
  </si>
  <si>
    <t>BBsC19</t>
  </si>
  <si>
    <t>BBsC20</t>
  </si>
  <si>
    <t>BBsC21</t>
  </si>
  <si>
    <t>BBsC23</t>
  </si>
  <si>
    <t>Avidity change fold</t>
  </si>
  <si>
    <t>aRBD-2</t>
  </si>
  <si>
    <t>7D12</t>
  </si>
  <si>
    <t>9G8</t>
  </si>
  <si>
    <t>aRBD-5</t>
  </si>
  <si>
    <t>aRBD-7</t>
  </si>
  <si>
    <t>VHH-B11</t>
  </si>
  <si>
    <t>vHH-H2</t>
  </si>
  <si>
    <t>S1-VHH23</t>
  </si>
  <si>
    <t>RBD-VHH1</t>
  </si>
  <si>
    <t>RBD-VHH56</t>
  </si>
  <si>
    <t>BsG3</t>
  </si>
  <si>
    <t>BsG105</t>
  </si>
  <si>
    <t>BsG73</t>
  </si>
  <si>
    <t>BsG89</t>
  </si>
  <si>
    <t>BsG98</t>
  </si>
  <si>
    <t>H4</t>
  </si>
  <si>
    <t>I5</t>
  </si>
  <si>
    <t>Nb F2</t>
  </si>
  <si>
    <t>Nb E5</t>
  </si>
  <si>
    <t>Nb G1</t>
  </si>
  <si>
    <t>Sb#15</t>
  </si>
  <si>
    <t>Sb #68</t>
  </si>
  <si>
    <t>RTA-E5</t>
  </si>
  <si>
    <t>RTB-B7</t>
  </si>
  <si>
    <t>JM-17</t>
  </si>
  <si>
    <t>JM-18</t>
  </si>
  <si>
    <t>JM-2</t>
  </si>
  <si>
    <t>JM-5</t>
  </si>
  <si>
    <t>RTA-F6</t>
  </si>
  <si>
    <t>RTA-D10</t>
  </si>
  <si>
    <t xml:space="preserve"> RTA-E5</t>
  </si>
  <si>
    <t>NbC1</t>
  </si>
  <si>
    <t>NbC2</t>
  </si>
  <si>
    <t>Nb1</t>
  </si>
  <si>
    <t>Nb2</t>
  </si>
  <si>
    <t>ScFv13</t>
  </si>
  <si>
    <t>VHH43</t>
  </si>
  <si>
    <t>T5</t>
  </si>
  <si>
    <t>T3</t>
  </si>
  <si>
    <t>VHH E</t>
  </si>
  <si>
    <t>vHH V</t>
  </si>
  <si>
    <t>JKH-C7</t>
  </si>
  <si>
    <t>JIK-B8</t>
  </si>
  <si>
    <t>BsS3</t>
    <phoneticPr fontId="1" type="noConversion"/>
  </si>
  <si>
    <t>BsS11</t>
    <phoneticPr fontId="1" type="noConversion"/>
  </si>
  <si>
    <t>BsS18</t>
    <phoneticPr fontId="1" type="noConversion"/>
  </si>
  <si>
    <t>BsS29</t>
    <phoneticPr fontId="1" type="noConversion"/>
  </si>
  <si>
    <t>S3N3C5</t>
  </si>
  <si>
    <t>S3N3P1G1</t>
  </si>
  <si>
    <t>MN3P3G10</t>
  </si>
  <si>
    <t>MN4P1H9</t>
  </si>
  <si>
    <t>S3N3P4B8</t>
  </si>
  <si>
    <t>S3N3C2</t>
  </si>
  <si>
    <t>sdAb-N3</t>
  </si>
  <si>
    <t>S9R3C1</t>
    <phoneticPr fontId="1" type="noConversion"/>
  </si>
  <si>
    <t>S9R3C3</t>
    <phoneticPr fontId="1" type="noConversion"/>
  </si>
  <si>
    <t>S9R3C8</t>
    <phoneticPr fontId="1" type="noConversion"/>
  </si>
  <si>
    <t>S9R3C1</t>
  </si>
  <si>
    <t>S9R4P2H5</t>
  </si>
  <si>
    <t>S9R3C3</t>
  </si>
  <si>
    <t>S9R3C4</t>
  </si>
  <si>
    <t>S9R3C5</t>
  </si>
  <si>
    <t>S9R3C7</t>
  </si>
  <si>
    <t>S9R3C9</t>
    <phoneticPr fontId="1" type="noConversion"/>
  </si>
  <si>
    <t>S9R4P4F10</t>
  </si>
  <si>
    <t>S9R3C6</t>
  </si>
  <si>
    <t>S9R4P2E7</t>
  </si>
  <si>
    <t>S9R3C8</t>
  </si>
  <si>
    <t>S9R4P2D6</t>
  </si>
  <si>
    <t>S3C4C3</t>
  </si>
  <si>
    <t>S3C4P3E4</t>
  </si>
  <si>
    <t>S3C4P3G3</t>
  </si>
  <si>
    <t>S3C4P4F1</t>
  </si>
  <si>
    <t>S3C4C1</t>
  </si>
  <si>
    <t>S3C4C7</t>
  </si>
  <si>
    <t>S3C4P3G6</t>
  </si>
  <si>
    <t>S3C4P5G7</t>
  </si>
  <si>
    <t>S3C4C9</t>
  </si>
  <si>
    <t>S3C4P3F10</t>
  </si>
  <si>
    <t>linker sequence</t>
  </si>
  <si>
    <t>ASTKGPSVFPLAPCSRSTSESTAALGCLVKDYFPEPVTVSWNSGALTSGVHTFPAVLQSSGLYSLSSVVTVPSSSLGTQTYICNVNHKPSNTKVDKRVESKYGPPCPPCPAPEFLGGPSVFLFPPKPKDTLMISRTPEVTCVVVDVSHEDPEVKFNWYVDGVEVHNAKTKPREEQYASTYRVVSVLTVLHQDWLNGKEYKCKVSNKALPAPIEKTISKAKGQPREPQVYTLPPSREEMTKNQVSLTCLVKGFYPSDIAVEWESNGQPENNYKTTPPVLDSDGSFFLYSKLTVDKSRWQQGNVFSCSVMHEALHNHYTQKSLSLSPGK</t>
  </si>
  <si>
    <t>GGGGSGGGGSGGGGS</t>
  </si>
  <si>
    <t>ASTKGPSVFPLAPCSRSTSESTAALGCLVKDYFPEPVTVSWNSGALTSGVHTFPAVLQSSGLYSLSSVVTVPSSSLGTQTYICNVNHKPSNTKVDKRVESKYGPPCPPCPAPEFLGGPSVFLFPPKPKDTLMISRTPEVTCVVVDVSHEDPEVKFNWYVDGVEVHNAKTKPREEQYASTYRVVSVLTVLHQDWLNGKEYKCKVSNKALPAPIEKTISKAKGQPREPQVYTLPPSREEMTKNQVSLTCLVKGFYPSDIAVEWESNGQPENNYKTTPPVLDSDGSFFLYSKLTVDKSRWQQGNVFSCSVMHEALHNHYTQKSLSLSPGKGGGGSGGGGSGGGGS</t>
  </si>
  <si>
    <t>GQPCPSCPSPGGGGGGSQGQPCPSCPGGGGSGGGGSGGGGS</t>
  </si>
  <si>
    <t>GGGGSGGGGS</t>
  </si>
  <si>
    <t>GGGGSGGGGSGGGGSGGGGS</t>
  </si>
  <si>
    <t>GGGGSGGGGSGGGGSGGGGSGGGGS</t>
  </si>
  <si>
    <t>GGGGSGGGGSGGGGSGGGGSGGGGSGGGGS</t>
  </si>
  <si>
    <t>BBsR12-L</t>
    <phoneticPr fontId="1" type="noConversion"/>
  </si>
  <si>
    <t>BBsR25-L</t>
    <phoneticPr fontId="1" type="noConversion"/>
  </si>
  <si>
    <t>BBsR26-L</t>
    <phoneticPr fontId="1" type="noConversion"/>
  </si>
  <si>
    <t>GGGGSGGGGSGGGS</t>
  </si>
  <si>
    <t>GGGGSGGGGSGGS</t>
  </si>
  <si>
    <t>GGGGSGGGGSGGGGSGGGS</t>
  </si>
  <si>
    <t>ShAb01</t>
  </si>
  <si>
    <t>ShAb02</t>
  </si>
  <si>
    <t>ShAb01H02K</t>
  </si>
  <si>
    <t>BsS3</t>
    <phoneticPr fontId="0" type="noConversion"/>
  </si>
  <si>
    <t>BsS11</t>
    <phoneticPr fontId="0" type="noConversion"/>
  </si>
  <si>
    <t>BsS18</t>
    <phoneticPr fontId="0" type="noConversion"/>
  </si>
  <si>
    <t>BsS29</t>
    <phoneticPr fontId="0" type="noConversion"/>
  </si>
  <si>
    <t>BBsS1-L</t>
  </si>
  <si>
    <t>BBsS2-L</t>
  </si>
  <si>
    <t>BBsS3-L</t>
  </si>
  <si>
    <t>BiN7-L</t>
  </si>
  <si>
    <t>BiN8-L</t>
  </si>
  <si>
    <t>BBsN1-L</t>
  </si>
  <si>
    <t>BBsN2-L</t>
  </si>
  <si>
    <t>BBsN4-L</t>
  </si>
  <si>
    <t>BBsC4-L</t>
  </si>
  <si>
    <t>GGGGSGGGGSGS</t>
  </si>
  <si>
    <t>GGGGSGGGGSGGGGSGGGGSGGGGSGS</t>
  </si>
  <si>
    <t>GGGGSGGGGSGGGGSGS</t>
  </si>
  <si>
    <t>sdAb-N2</t>
  </si>
  <si>
    <t>WuN1</t>
  </si>
  <si>
    <t>BvHH3</t>
  </si>
  <si>
    <t>BBsN1</t>
  </si>
  <si>
    <t>BBsN2</t>
  </si>
  <si>
    <t>BBsN3</t>
  </si>
  <si>
    <t>BBsN4</t>
  </si>
  <si>
    <t>S3N3C7</t>
  </si>
  <si>
    <t>BBsN5</t>
  </si>
  <si>
    <t>MN4P3G1</t>
  </si>
  <si>
    <t>BBsN6</t>
  </si>
  <si>
    <t>S3N3C1</t>
  </si>
  <si>
    <t>BBsN7</t>
  </si>
  <si>
    <t>S3N3C3</t>
  </si>
  <si>
    <t>BBsN8</t>
  </si>
  <si>
    <t>S3N3C6</t>
  </si>
  <si>
    <t>BBsN9</t>
  </si>
  <si>
    <t>S3N3C4</t>
  </si>
  <si>
    <t>S3N2P1G8</t>
  </si>
  <si>
    <t>BBsN11</t>
  </si>
  <si>
    <t>BiN1</t>
  </si>
  <si>
    <t>BiN2</t>
  </si>
  <si>
    <t>BiN6</t>
  </si>
  <si>
    <t>BiN7</t>
  </si>
  <si>
    <t>BiN8</t>
  </si>
  <si>
    <t>N' monomer</t>
  </si>
  <si>
    <t>C' monomer</t>
  </si>
  <si>
    <t>Biparatopic dimer</t>
  </si>
  <si>
    <r>
      <t>Polar A</t>
    </r>
    <r>
      <rPr>
        <vertAlign val="subscript"/>
        <sz val="12"/>
        <color theme="1"/>
        <rFont val="Arial"/>
        <family val="2"/>
      </rPr>
      <t>area,N</t>
    </r>
  </si>
  <si>
    <r>
      <t>Nonpolar A</t>
    </r>
    <r>
      <rPr>
        <vertAlign val="subscript"/>
        <sz val="12"/>
        <color theme="1"/>
        <rFont val="Arial"/>
        <family val="2"/>
      </rPr>
      <t>area,N</t>
    </r>
  </si>
  <si>
    <r>
      <t>Polar A</t>
    </r>
    <r>
      <rPr>
        <vertAlign val="subscript"/>
        <sz val="12"/>
        <color theme="1"/>
        <rFont val="Arial"/>
        <family val="2"/>
      </rPr>
      <t>area,C</t>
    </r>
  </si>
  <si>
    <r>
      <t>Nonpolar A</t>
    </r>
    <r>
      <rPr>
        <vertAlign val="subscript"/>
        <sz val="12"/>
        <color theme="1"/>
        <rFont val="Arial"/>
        <family val="2"/>
      </rPr>
      <t>area,C</t>
    </r>
  </si>
  <si>
    <t>N hydrogen bond</t>
  </si>
  <si>
    <t>N pi-pi interaction</t>
  </si>
  <si>
    <t>N salt bridge</t>
  </si>
  <si>
    <t>C hydrogen bond</t>
  </si>
  <si>
    <t>C pi-pi interaction</t>
  </si>
  <si>
    <t>C salt bridge</t>
  </si>
  <si>
    <t>n_bonds_C</t>
  </si>
  <si>
    <t>n_bonds_N</t>
  </si>
  <si>
    <t>R_bond</t>
  </si>
  <si>
    <t>L_link</t>
  </si>
  <si>
    <t>AC</t>
  </si>
  <si>
    <t>d_epi</t>
  </si>
  <si>
    <t>KD_N</t>
  </si>
  <si>
    <t>R_link</t>
  </si>
  <si>
    <t>KD_C</t>
  </si>
  <si>
    <t>KD_bipara</t>
  </si>
  <si>
    <t>D_mono</t>
  </si>
  <si>
    <t>R_area</t>
  </si>
  <si>
    <t>AN</t>
  </si>
  <si>
    <t>S_geometry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</si>
</sst>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[Red]\(0.00\)"/>
  </numFmts>
  <fonts count="10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Arial"/>
      <family val="2"/>
    </font>
    <font>
      <sz val="12"/>
      <color theme="1"/>
      <name val="Calibri"/>
      <family val="2"/>
      <charset val="134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name val="Calibri"/>
      <family val="2"/>
      <scheme val="minor"/>
    </font>
    <font>
      <sz val="12"/>
      <name val="Aptos Narrow"/>
    </font>
    <font>
      <vertAlign val="subscript"/>
      <sz val="12"/>
      <color theme="1"/>
      <name val="Arial"/>
      <family val="2"/>
    </font>
    <font>
      <sz val="13"/>
      <color rgb="FF393A3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C103"/>
  <sheetViews>
    <sheetView tabSelected="1" zoomScaleNormal="50" workbookViewId="0">
      <selection activeCell="F20" sqref="F20"/>
    </sheetView>
  </sheetViews>
  <sheetFormatPr baseColWidth="10" defaultRowHeight="16"/>
  <cols>
    <col min="1" max="1" width="12.83203125" bestFit="1" customWidth="1"/>
    <col min="2" max="2" width="20.6640625" bestFit="1" customWidth="1"/>
    <col min="3" max="3" width="14" bestFit="1" customWidth="1"/>
    <col min="4" max="4" width="20.6640625" bestFit="1" customWidth="1"/>
    <col min="5" max="5" width="21.33203125" bestFit="1" customWidth="1"/>
    <col min="6" max="6" width="26.1640625" bestFit="1" customWidth="1"/>
    <col min="7" max="7" width="18.83203125" bestFit="1" customWidth="1"/>
    <col min="8" max="8" width="19.6640625" bestFit="1" customWidth="1"/>
    <col min="9" max="9" width="42.33203125" style="3" customWidth="1"/>
    <col min="10" max="10" width="25.6640625" bestFit="1" customWidth="1"/>
    <col min="11" max="11" width="23" bestFit="1" customWidth="1"/>
    <col min="12" max="12" width="42.83203125" style="3" bestFit="1" customWidth="1"/>
    <col min="13" max="13" width="36.1640625" style="3" bestFit="1" customWidth="1"/>
    <col min="14" max="14" width="41.83203125" style="3" bestFit="1" customWidth="1"/>
    <col min="15" max="15" width="45.6640625" style="3" bestFit="1" customWidth="1"/>
    <col min="16" max="16" width="36.1640625" style="3" bestFit="1" customWidth="1"/>
    <col min="17" max="17" width="41.83203125" style="3" bestFit="1" customWidth="1"/>
    <col min="18" max="18" width="45.6640625" style="3" bestFit="1" customWidth="1"/>
    <col min="19" max="19" width="23.33203125" style="3" bestFit="1" customWidth="1"/>
    <col min="20" max="20" width="27.33203125" style="3" bestFit="1" customWidth="1"/>
    <col min="21" max="21" width="27.5" style="3" bestFit="1" customWidth="1"/>
    <col min="22" max="22" width="22.1640625" style="3" bestFit="1" customWidth="1"/>
    <col min="23" max="23" width="30.33203125" style="3" bestFit="1" customWidth="1"/>
    <col min="24" max="24" width="27.33203125" style="3" bestFit="1" customWidth="1"/>
    <col min="25" max="25" width="27.5" style="3" bestFit="1" customWidth="1"/>
    <col min="26" max="26" width="22.6640625" style="3" bestFit="1" customWidth="1"/>
    <col min="27" max="27" width="29.6640625" style="3" bestFit="1" customWidth="1"/>
    <col min="28" max="28" width="24" style="3" bestFit="1" customWidth="1"/>
    <col min="29" max="29" width="11.5" style="3" customWidth="1"/>
    <col min="30" max="16384" width="10.83203125" style="3"/>
  </cols>
  <sheetData>
    <row r="1" spans="1:29" ht="18">
      <c r="A1" s="3" t="s">
        <v>210</v>
      </c>
      <c r="B1" s="3" t="s">
        <v>229</v>
      </c>
      <c r="C1" s="3" t="s">
        <v>211</v>
      </c>
      <c r="D1" s="3" t="s">
        <v>231</v>
      </c>
      <c r="E1" s="3" t="s">
        <v>212</v>
      </c>
      <c r="F1" s="3" t="s">
        <v>232</v>
      </c>
      <c r="G1" s="2" t="s">
        <v>71</v>
      </c>
      <c r="H1" s="3" t="s">
        <v>228</v>
      </c>
      <c r="I1" s="2" t="s">
        <v>151</v>
      </c>
      <c r="J1" s="3" t="s">
        <v>226</v>
      </c>
      <c r="K1" s="3" t="s">
        <v>233</v>
      </c>
      <c r="L1" s="3" t="s">
        <v>230</v>
      </c>
      <c r="M1" s="3" t="s">
        <v>235</v>
      </c>
      <c r="N1" s="3" t="s">
        <v>213</v>
      </c>
      <c r="O1" s="3" t="s">
        <v>214</v>
      </c>
      <c r="P1" s="6" t="s">
        <v>227</v>
      </c>
      <c r="Q1" s="3" t="s">
        <v>215</v>
      </c>
      <c r="R1" s="3" t="s">
        <v>216</v>
      </c>
      <c r="S1" s="3" t="s">
        <v>234</v>
      </c>
      <c r="T1" s="3" t="s">
        <v>217</v>
      </c>
      <c r="U1" s="3" t="s">
        <v>218</v>
      </c>
      <c r="V1" s="3" t="s">
        <v>219</v>
      </c>
      <c r="W1" s="3" t="s">
        <v>224</v>
      </c>
      <c r="X1" s="3" t="s">
        <v>220</v>
      </c>
      <c r="Y1" s="3" t="s">
        <v>221</v>
      </c>
      <c r="Z1" s="3" t="s">
        <v>222</v>
      </c>
      <c r="AA1" s="3" t="s">
        <v>223</v>
      </c>
      <c r="AB1" s="7" t="s">
        <v>225</v>
      </c>
      <c r="AC1" s="7" t="s">
        <v>236</v>
      </c>
    </row>
    <row r="2" spans="1:29" ht="17">
      <c r="A2" s="2" t="s">
        <v>73</v>
      </c>
      <c r="B2" s="2">
        <v>10.4</v>
      </c>
      <c r="C2" s="2" t="s">
        <v>74</v>
      </c>
      <c r="D2" s="2">
        <v>14.4</v>
      </c>
      <c r="E2" s="2" t="s">
        <v>0</v>
      </c>
      <c r="F2" s="2">
        <v>3.1</v>
      </c>
      <c r="G2" s="2">
        <v>3.3548387096774195</v>
      </c>
      <c r="H2" s="8">
        <v>28.285</v>
      </c>
      <c r="I2" s="2" t="s">
        <v>156</v>
      </c>
      <c r="J2" s="2">
        <v>36</v>
      </c>
      <c r="K2" s="1">
        <v>93.747</v>
      </c>
      <c r="L2" s="2">
        <v>0.3840122883932286</v>
      </c>
      <c r="M2" s="2">
        <v>556.56521199999997</v>
      </c>
      <c r="N2" s="2">
        <v>295.046606</v>
      </c>
      <c r="O2" s="2">
        <v>261.51871099999994</v>
      </c>
      <c r="P2" s="2">
        <v>527.13471800000002</v>
      </c>
      <c r="Q2" s="2">
        <v>280.85209900000001</v>
      </c>
      <c r="R2" s="2">
        <v>246.28259000000003</v>
      </c>
      <c r="S2" s="2">
        <v>1.0558310674577878</v>
      </c>
      <c r="T2" s="2">
        <v>18</v>
      </c>
      <c r="U2" s="2">
        <v>5</v>
      </c>
      <c r="V2" s="2">
        <v>0</v>
      </c>
      <c r="W2" s="2">
        <v>23</v>
      </c>
      <c r="X2" s="2">
        <v>15</v>
      </c>
      <c r="Y2" s="2">
        <v>3</v>
      </c>
      <c r="Z2" s="2">
        <v>1</v>
      </c>
      <c r="AA2" s="2">
        <v>19</v>
      </c>
      <c r="AB2" s="2">
        <v>0.82608695652173914</v>
      </c>
      <c r="AC2" s="11">
        <f t="shared" ref="AC2:AC50" si="0">(1-MIN(ABS(L2-1),1))+(1-MIN(ABS(S2-1),0.5))+(1-MIN(ABS(AB2-1),0.5))</f>
        <v>2.1542681774571801</v>
      </c>
    </row>
    <row r="3" spans="1:29" ht="17">
      <c r="A3" s="2" t="s">
        <v>74</v>
      </c>
      <c r="B3" s="2">
        <v>14.4</v>
      </c>
      <c r="C3" s="2" t="s">
        <v>73</v>
      </c>
      <c r="D3" s="2">
        <v>10.4</v>
      </c>
      <c r="E3" s="2" t="s">
        <v>1</v>
      </c>
      <c r="F3" s="2">
        <v>7.1</v>
      </c>
      <c r="G3" s="2">
        <v>1.4647887323943662</v>
      </c>
      <c r="H3" s="8">
        <v>28.285</v>
      </c>
      <c r="I3" s="2" t="s">
        <v>156</v>
      </c>
      <c r="J3" s="2">
        <v>36</v>
      </c>
      <c r="K3" s="1">
        <v>86.472999999999999</v>
      </c>
      <c r="L3" s="2">
        <v>0.41631491910769836</v>
      </c>
      <c r="M3" s="2">
        <v>527.13471800000002</v>
      </c>
      <c r="N3" s="2">
        <v>280.85209900000001</v>
      </c>
      <c r="O3" s="2">
        <v>246.28259000000003</v>
      </c>
      <c r="P3" s="2">
        <v>556.56521199999997</v>
      </c>
      <c r="Q3" s="2">
        <v>295.046606</v>
      </c>
      <c r="R3" s="2">
        <v>261.51871099999994</v>
      </c>
      <c r="S3" s="2">
        <v>0.94712121173681985</v>
      </c>
      <c r="T3" s="2">
        <v>15</v>
      </c>
      <c r="U3" s="2">
        <v>3</v>
      </c>
      <c r="V3" s="2">
        <v>1</v>
      </c>
      <c r="W3" s="2">
        <v>19</v>
      </c>
      <c r="X3" s="2">
        <v>18</v>
      </c>
      <c r="Y3" s="2">
        <v>5</v>
      </c>
      <c r="Z3" s="2">
        <v>0</v>
      </c>
      <c r="AA3" s="2">
        <v>23</v>
      </c>
      <c r="AB3" s="2">
        <v>1.2105263157894737</v>
      </c>
      <c r="AC3" s="11">
        <f t="shared" si="0"/>
        <v>2.1529098150550445</v>
      </c>
    </row>
    <row r="4" spans="1:29" ht="17">
      <c r="A4" s="2" t="s">
        <v>72</v>
      </c>
      <c r="B4" s="2">
        <v>2.6</v>
      </c>
      <c r="C4" s="2" t="s">
        <v>75</v>
      </c>
      <c r="D4" s="2">
        <v>16.3</v>
      </c>
      <c r="E4" s="2" t="s">
        <v>2</v>
      </c>
      <c r="F4" s="2">
        <v>5.8999999999999997E-2</v>
      </c>
      <c r="G4" s="2">
        <v>44.067796610169495</v>
      </c>
      <c r="H4" s="8">
        <v>3.7429999999999999</v>
      </c>
      <c r="I4" s="2" t="s">
        <v>153</v>
      </c>
      <c r="J4" s="2">
        <v>54</v>
      </c>
      <c r="K4" s="1">
        <v>44.953000000000003</v>
      </c>
      <c r="L4" s="2">
        <v>1.2012546437390161</v>
      </c>
      <c r="M4" s="2">
        <v>527.29080600000009</v>
      </c>
      <c r="N4" s="2">
        <v>294.34718000000004</v>
      </c>
      <c r="O4" s="2">
        <v>232.94334299999997</v>
      </c>
      <c r="P4" s="2">
        <v>694.57042999999999</v>
      </c>
      <c r="Q4" s="2">
        <v>263.106987</v>
      </c>
      <c r="R4" s="2">
        <v>431.46365899999995</v>
      </c>
      <c r="S4" s="2">
        <v>0.75916103425249493</v>
      </c>
      <c r="T4" s="2">
        <v>13</v>
      </c>
      <c r="U4" s="2">
        <v>6</v>
      </c>
      <c r="V4" s="2">
        <v>1</v>
      </c>
      <c r="W4" s="2">
        <v>20</v>
      </c>
      <c r="X4" s="2">
        <v>7</v>
      </c>
      <c r="Y4" s="2">
        <v>6</v>
      </c>
      <c r="Z4" s="2">
        <v>2</v>
      </c>
      <c r="AA4" s="2">
        <v>15</v>
      </c>
      <c r="AB4" s="2">
        <v>0.75</v>
      </c>
      <c r="AC4" s="11">
        <f t="shared" si="0"/>
        <v>2.3079063905134789</v>
      </c>
    </row>
    <row r="5" spans="1:29" ht="17">
      <c r="A5" s="2" t="s">
        <v>72</v>
      </c>
      <c r="B5" s="2">
        <v>2.6</v>
      </c>
      <c r="C5" s="2" t="s">
        <v>76</v>
      </c>
      <c r="D5" s="2">
        <v>3.31</v>
      </c>
      <c r="E5" s="2" t="s">
        <v>3</v>
      </c>
      <c r="F5" s="2">
        <v>0.252</v>
      </c>
      <c r="G5" s="2">
        <v>10.317460317460318</v>
      </c>
      <c r="H5" s="8">
        <v>14.116</v>
      </c>
      <c r="I5" s="2" t="s">
        <v>153</v>
      </c>
      <c r="J5" s="2">
        <v>54</v>
      </c>
      <c r="K5" s="1">
        <v>56.98</v>
      </c>
      <c r="L5" s="2">
        <v>0.9477009477009477</v>
      </c>
      <c r="M5" s="2">
        <v>527.29080600000009</v>
      </c>
      <c r="N5" s="2">
        <v>294.34718000000004</v>
      </c>
      <c r="O5" s="2">
        <v>232.94334299999997</v>
      </c>
      <c r="P5" s="2">
        <v>498.5720980000001</v>
      </c>
      <c r="Q5" s="2">
        <v>232.11354299999999</v>
      </c>
      <c r="R5" s="2">
        <v>266.45844900000003</v>
      </c>
      <c r="S5" s="2">
        <v>1.0576019157814964</v>
      </c>
      <c r="T5" s="2">
        <v>13</v>
      </c>
      <c r="U5" s="2">
        <v>6</v>
      </c>
      <c r="V5" s="2">
        <v>1</v>
      </c>
      <c r="W5" s="2">
        <v>20</v>
      </c>
      <c r="X5" s="2">
        <v>15</v>
      </c>
      <c r="Y5" s="2">
        <v>3</v>
      </c>
      <c r="Z5" s="2">
        <v>0</v>
      </c>
      <c r="AA5" s="2">
        <v>18</v>
      </c>
      <c r="AB5" s="2">
        <v>0.9</v>
      </c>
      <c r="AC5" s="11">
        <f t="shared" si="0"/>
        <v>2.7900990319194512</v>
      </c>
    </row>
    <row r="6" spans="1:29" ht="17">
      <c r="A6" s="2" t="s">
        <v>77</v>
      </c>
      <c r="B6" s="2">
        <v>8.6880000000000006</v>
      </c>
      <c r="C6" s="2" t="s">
        <v>78</v>
      </c>
      <c r="D6" s="2">
        <v>2.6309999999999998</v>
      </c>
      <c r="E6" s="2" t="s">
        <v>4</v>
      </c>
      <c r="F6" s="2">
        <v>3.6159999999999998E-2</v>
      </c>
      <c r="G6" s="2">
        <v>72.759955752212392</v>
      </c>
      <c r="H6" s="8">
        <v>22.439</v>
      </c>
      <c r="I6" s="2" t="s">
        <v>154</v>
      </c>
      <c r="J6" s="2">
        <v>121.80500000000001</v>
      </c>
      <c r="K6" s="1">
        <v>95.668000000000006</v>
      </c>
      <c r="L6" s="2">
        <v>1.2732052514947527</v>
      </c>
      <c r="M6" s="2">
        <v>367.85536000000002</v>
      </c>
      <c r="N6" s="2">
        <v>176.73640799999998</v>
      </c>
      <c r="O6" s="2">
        <v>191.11881899999997</v>
      </c>
      <c r="P6" s="2">
        <v>511.73319500000002</v>
      </c>
      <c r="Q6" s="2">
        <v>285.16024800000008</v>
      </c>
      <c r="R6" s="2">
        <v>226.57280599999999</v>
      </c>
      <c r="S6" s="2">
        <v>0.71884209114087272</v>
      </c>
      <c r="T6" s="2">
        <v>17</v>
      </c>
      <c r="U6" s="2">
        <v>1</v>
      </c>
      <c r="V6" s="2">
        <v>1</v>
      </c>
      <c r="W6" s="2">
        <v>19</v>
      </c>
      <c r="X6" s="2">
        <v>7</v>
      </c>
      <c r="Y6" s="2">
        <v>5</v>
      </c>
      <c r="Z6" s="2">
        <v>0</v>
      </c>
      <c r="AA6" s="2">
        <v>12</v>
      </c>
      <c r="AB6" s="2">
        <v>0.63157894736842102</v>
      </c>
      <c r="AC6" s="11">
        <f t="shared" si="0"/>
        <v>2.0772157870145413</v>
      </c>
    </row>
    <row r="7" spans="1:29" ht="17">
      <c r="A7" s="2" t="s">
        <v>79</v>
      </c>
      <c r="B7" s="2">
        <v>112</v>
      </c>
      <c r="C7" s="2" t="s">
        <v>80</v>
      </c>
      <c r="D7" s="2">
        <v>891</v>
      </c>
      <c r="E7" s="2" t="s">
        <v>5</v>
      </c>
      <c r="F7" s="2">
        <v>10.6</v>
      </c>
      <c r="G7" s="2">
        <v>10.566037735849058</v>
      </c>
      <c r="H7" s="8">
        <v>2.4180000000000001</v>
      </c>
      <c r="I7" s="2" t="s">
        <v>157</v>
      </c>
      <c r="J7" s="2">
        <v>72</v>
      </c>
      <c r="K7" s="1">
        <v>33.898000000000003</v>
      </c>
      <c r="L7" s="2">
        <v>2.1240191161720454</v>
      </c>
      <c r="M7" s="2">
        <v>478.62236899999999</v>
      </c>
      <c r="N7" s="2">
        <v>233.214888</v>
      </c>
      <c r="O7" s="2">
        <v>245.40755999999999</v>
      </c>
      <c r="P7" s="2">
        <v>544.4984290000001</v>
      </c>
      <c r="Q7" s="2">
        <v>297.98262899999997</v>
      </c>
      <c r="R7" s="2">
        <v>246.515578</v>
      </c>
      <c r="S7" s="2">
        <v>0.87901515139174058</v>
      </c>
      <c r="T7" s="2">
        <v>11</v>
      </c>
      <c r="U7" s="2">
        <v>2</v>
      </c>
      <c r="V7" s="2">
        <v>2</v>
      </c>
      <c r="W7" s="2">
        <v>15</v>
      </c>
      <c r="X7" s="2">
        <v>12</v>
      </c>
      <c r="Y7" s="2">
        <v>5</v>
      </c>
      <c r="Z7" s="2">
        <v>0</v>
      </c>
      <c r="AA7" s="2">
        <v>17</v>
      </c>
      <c r="AB7" s="2">
        <v>1.1333333333333333</v>
      </c>
      <c r="AC7" s="11">
        <f t="shared" si="0"/>
        <v>1.7456818180584073</v>
      </c>
    </row>
    <row r="8" spans="1:29" ht="17">
      <c r="A8" s="2" t="s">
        <v>81</v>
      </c>
      <c r="B8" s="2">
        <v>6.61</v>
      </c>
      <c r="C8" s="2" t="s">
        <v>80</v>
      </c>
      <c r="D8" s="2">
        <v>891</v>
      </c>
      <c r="E8" s="2" t="s">
        <v>6</v>
      </c>
      <c r="F8" s="2">
        <v>8.8699999999999992</v>
      </c>
      <c r="G8" s="2">
        <v>0.74520856820744097</v>
      </c>
      <c r="H8" s="8">
        <v>2.859</v>
      </c>
      <c r="I8" s="2" t="s">
        <v>157</v>
      </c>
      <c r="J8" s="2">
        <v>72</v>
      </c>
      <c r="K8" s="1">
        <v>66.980999999999995</v>
      </c>
      <c r="L8" s="2">
        <v>1.0749316970484168</v>
      </c>
      <c r="M8" s="2">
        <v>544.4984290000001</v>
      </c>
      <c r="N8" s="2">
        <v>297.98262899999997</v>
      </c>
      <c r="O8" s="2">
        <v>246.515578</v>
      </c>
      <c r="P8" s="2">
        <v>544.4984290000001</v>
      </c>
      <c r="Q8" s="2">
        <v>297.98262899999997</v>
      </c>
      <c r="R8" s="2">
        <v>246.515578</v>
      </c>
      <c r="S8" s="2">
        <v>1</v>
      </c>
      <c r="T8" s="2">
        <v>11</v>
      </c>
      <c r="U8" s="2">
        <v>1</v>
      </c>
      <c r="V8" s="2">
        <v>0</v>
      </c>
      <c r="W8" s="2">
        <v>12</v>
      </c>
      <c r="X8" s="2">
        <v>12</v>
      </c>
      <c r="Y8" s="2">
        <v>5</v>
      </c>
      <c r="Z8" s="2">
        <v>0</v>
      </c>
      <c r="AA8" s="2">
        <v>17</v>
      </c>
      <c r="AB8" s="2">
        <v>1.4166666666666667</v>
      </c>
      <c r="AC8" s="11">
        <f t="shared" si="0"/>
        <v>2.5084016362849164</v>
      </c>
    </row>
    <row r="9" spans="1:29" ht="17">
      <c r="A9" s="2" t="s">
        <v>81</v>
      </c>
      <c r="B9" s="2">
        <v>6.61</v>
      </c>
      <c r="C9" s="2" t="s">
        <v>79</v>
      </c>
      <c r="D9" s="2">
        <v>112</v>
      </c>
      <c r="E9" s="2" t="s">
        <v>7</v>
      </c>
      <c r="F9" s="2">
        <v>9.64</v>
      </c>
      <c r="G9" s="2">
        <v>0.68568464730290457</v>
      </c>
      <c r="H9" s="8">
        <v>-1.6919999999999999</v>
      </c>
      <c r="I9" s="2" t="s">
        <v>157</v>
      </c>
      <c r="J9" s="2">
        <v>72</v>
      </c>
      <c r="K9" s="1">
        <v>52.279000000000003</v>
      </c>
      <c r="L9" s="2">
        <v>1.3772260372233591</v>
      </c>
      <c r="M9" s="2">
        <v>544.4984290000001</v>
      </c>
      <c r="N9" s="2">
        <v>297.98262899999997</v>
      </c>
      <c r="O9" s="2">
        <v>246.515578</v>
      </c>
      <c r="P9" s="2">
        <v>478.62236899999999</v>
      </c>
      <c r="Q9" s="2">
        <v>233.214888</v>
      </c>
      <c r="R9" s="2">
        <v>245.40755999999999</v>
      </c>
      <c r="S9" s="2">
        <v>1.1376368182240144</v>
      </c>
      <c r="T9" s="2">
        <v>11</v>
      </c>
      <c r="U9" s="2">
        <v>1</v>
      </c>
      <c r="V9" s="2">
        <v>0</v>
      </c>
      <c r="W9" s="2">
        <v>12</v>
      </c>
      <c r="X9" s="2">
        <v>11</v>
      </c>
      <c r="Y9" s="2">
        <v>2</v>
      </c>
      <c r="Z9" s="2">
        <v>2</v>
      </c>
      <c r="AA9" s="2">
        <v>15</v>
      </c>
      <c r="AB9" s="2">
        <v>1.25</v>
      </c>
      <c r="AC9" s="11">
        <f t="shared" si="0"/>
        <v>2.2351371445526267</v>
      </c>
    </row>
    <row r="10" spans="1:29" ht="17">
      <c r="A10" s="2" t="s">
        <v>82</v>
      </c>
      <c r="B10" s="2">
        <v>0.3</v>
      </c>
      <c r="C10" s="2" t="s">
        <v>83</v>
      </c>
      <c r="D10" s="2">
        <v>32.299999999999997</v>
      </c>
      <c r="E10" s="2" t="s">
        <v>8</v>
      </c>
      <c r="F10" s="2">
        <v>5.1900000000000002E-2</v>
      </c>
      <c r="G10" s="2">
        <v>5.7803468208092479</v>
      </c>
      <c r="H10" s="8">
        <v>8.6029999999999998</v>
      </c>
      <c r="I10" s="2" t="s">
        <v>157</v>
      </c>
      <c r="J10" s="2">
        <v>72</v>
      </c>
      <c r="K10" s="1">
        <v>28.312999999999999</v>
      </c>
      <c r="L10" s="2">
        <v>2.543001448098047</v>
      </c>
      <c r="M10" s="2">
        <v>459.67750200000012</v>
      </c>
      <c r="N10" s="2">
        <v>254.15531699999997</v>
      </c>
      <c r="O10" s="2">
        <v>205.52193599999998</v>
      </c>
      <c r="P10" s="2">
        <v>384.48501700000008</v>
      </c>
      <c r="Q10" s="2">
        <v>199.73683099999997</v>
      </c>
      <c r="R10" s="2">
        <v>184.74831799999998</v>
      </c>
      <c r="S10" s="2">
        <v>1.1955667494840247</v>
      </c>
      <c r="T10" s="2">
        <v>10</v>
      </c>
      <c r="U10" s="2">
        <v>5</v>
      </c>
      <c r="V10" s="2">
        <v>0</v>
      </c>
      <c r="W10" s="2">
        <v>15</v>
      </c>
      <c r="X10" s="2">
        <v>11</v>
      </c>
      <c r="Y10" s="2">
        <v>4</v>
      </c>
      <c r="Z10" s="2">
        <v>0</v>
      </c>
      <c r="AA10" s="2">
        <v>15</v>
      </c>
      <c r="AB10" s="2">
        <v>1</v>
      </c>
      <c r="AC10" s="11">
        <f t="shared" si="0"/>
        <v>1.8044332505159753</v>
      </c>
    </row>
    <row r="11" spans="1:29" ht="17">
      <c r="A11" s="2" t="s">
        <v>82</v>
      </c>
      <c r="B11" s="2">
        <v>0.3</v>
      </c>
      <c r="C11" s="2" t="s">
        <v>84</v>
      </c>
      <c r="D11" s="2">
        <v>3.1</v>
      </c>
      <c r="E11" s="2" t="s">
        <v>9</v>
      </c>
      <c r="F11" s="2">
        <v>2.7799999999999998E-2</v>
      </c>
      <c r="G11" s="2">
        <v>10.791366906474821</v>
      </c>
      <c r="H11" s="8">
        <v>6.4989999999999997</v>
      </c>
      <c r="I11" s="2" t="s">
        <v>157</v>
      </c>
      <c r="J11" s="2">
        <v>72</v>
      </c>
      <c r="K11" s="1">
        <v>29.254999999999999</v>
      </c>
      <c r="L11" s="2">
        <v>2.4611177576482652</v>
      </c>
      <c r="M11" s="2">
        <v>459.67750200000012</v>
      </c>
      <c r="N11" s="2">
        <v>254.15531699999997</v>
      </c>
      <c r="O11" s="2">
        <v>205.52193599999998</v>
      </c>
      <c r="P11" s="2">
        <v>327.51660900000007</v>
      </c>
      <c r="Q11" s="2">
        <v>175.17536199999998</v>
      </c>
      <c r="R11" s="2">
        <v>152.34112999999999</v>
      </c>
      <c r="S11" s="2">
        <v>1.4035242469184213</v>
      </c>
      <c r="T11" s="2">
        <v>10</v>
      </c>
      <c r="U11" s="2">
        <v>5</v>
      </c>
      <c r="V11" s="2">
        <v>0</v>
      </c>
      <c r="W11" s="2">
        <v>15</v>
      </c>
      <c r="X11" s="2">
        <v>8</v>
      </c>
      <c r="Y11" s="2">
        <v>3</v>
      </c>
      <c r="Z11" s="2">
        <v>0</v>
      </c>
      <c r="AA11" s="2">
        <v>11</v>
      </c>
      <c r="AB11" s="2">
        <v>0.73333333333333328</v>
      </c>
      <c r="AC11" s="11">
        <f t="shared" si="0"/>
        <v>1.3298090864149121</v>
      </c>
    </row>
    <row r="12" spans="1:29" ht="17">
      <c r="A12" s="2" t="s">
        <v>82</v>
      </c>
      <c r="B12" s="2">
        <v>0.3</v>
      </c>
      <c r="C12" s="2" t="s">
        <v>85</v>
      </c>
      <c r="D12" s="2">
        <v>18</v>
      </c>
      <c r="E12" s="2" t="s">
        <v>10</v>
      </c>
      <c r="F12" s="2">
        <v>2.07E-2</v>
      </c>
      <c r="G12" s="2">
        <v>14.492753623188406</v>
      </c>
      <c r="H12" s="8">
        <v>20.423999999999999</v>
      </c>
      <c r="I12" s="2" t="s">
        <v>157</v>
      </c>
      <c r="J12" s="2">
        <v>72</v>
      </c>
      <c r="K12" s="1">
        <v>70.837999999999994</v>
      </c>
      <c r="L12" s="2">
        <v>1.0164036251729298</v>
      </c>
      <c r="M12" s="2">
        <v>459.67750200000012</v>
      </c>
      <c r="N12" s="2">
        <v>254.15531699999997</v>
      </c>
      <c r="O12" s="2">
        <v>205.52193599999998</v>
      </c>
      <c r="P12" s="2">
        <v>416.68120500000003</v>
      </c>
      <c r="Q12" s="2">
        <v>179.02919299999996</v>
      </c>
      <c r="R12" s="2">
        <v>237.65196</v>
      </c>
      <c r="S12" s="2">
        <v>1.1031875123813182</v>
      </c>
      <c r="T12" s="2">
        <v>10</v>
      </c>
      <c r="U12" s="2">
        <v>5</v>
      </c>
      <c r="V12" s="2">
        <v>0</v>
      </c>
      <c r="W12" s="2">
        <v>15</v>
      </c>
      <c r="X12" s="2">
        <v>8</v>
      </c>
      <c r="Y12" s="2">
        <v>2</v>
      </c>
      <c r="Z12" s="2">
        <v>0</v>
      </c>
      <c r="AA12" s="2">
        <v>10</v>
      </c>
      <c r="AB12" s="2">
        <v>0.66666666666666663</v>
      </c>
      <c r="AC12" s="11">
        <f t="shared" si="0"/>
        <v>2.5470755291124187</v>
      </c>
    </row>
    <row r="13" spans="1:29" ht="17">
      <c r="A13" s="2" t="s">
        <v>82</v>
      </c>
      <c r="B13" s="2">
        <v>0.3</v>
      </c>
      <c r="C13" s="2" t="s">
        <v>86</v>
      </c>
      <c r="D13" s="2">
        <v>27.3</v>
      </c>
      <c r="E13" s="2" t="s">
        <v>11</v>
      </c>
      <c r="F13" s="2">
        <v>9.6600000000000005E-2</v>
      </c>
      <c r="G13" s="2">
        <v>3.1055900621118009</v>
      </c>
      <c r="H13" s="8">
        <v>10.417999999999999</v>
      </c>
      <c r="I13" s="2" t="s">
        <v>157</v>
      </c>
      <c r="J13" s="2">
        <v>72</v>
      </c>
      <c r="K13" s="1">
        <v>26.984000000000002</v>
      </c>
      <c r="L13" s="2">
        <v>2.66824785057812</v>
      </c>
      <c r="M13" s="2">
        <v>459.67750200000012</v>
      </c>
      <c r="N13" s="2">
        <v>254.15531699999997</v>
      </c>
      <c r="O13" s="2">
        <v>205.52193599999998</v>
      </c>
      <c r="P13" s="2">
        <v>309.64968099999999</v>
      </c>
      <c r="Q13" s="2">
        <v>140.96636699999999</v>
      </c>
      <c r="R13" s="2">
        <v>168.68314600000002</v>
      </c>
      <c r="S13" s="2">
        <v>1.4845082369065969</v>
      </c>
      <c r="T13" s="2">
        <v>10</v>
      </c>
      <c r="U13" s="2">
        <v>5</v>
      </c>
      <c r="V13" s="2">
        <v>0</v>
      </c>
      <c r="W13" s="2">
        <v>15</v>
      </c>
      <c r="X13" s="2">
        <v>8</v>
      </c>
      <c r="Y13" s="2">
        <v>4</v>
      </c>
      <c r="Z13" s="2">
        <v>1</v>
      </c>
      <c r="AA13" s="2">
        <v>13</v>
      </c>
      <c r="AB13" s="2">
        <v>0.8666666666666667</v>
      </c>
      <c r="AC13" s="11">
        <f t="shared" si="0"/>
        <v>1.3821584297600698</v>
      </c>
    </row>
    <row r="14" spans="1:29" ht="17">
      <c r="A14" s="2" t="s">
        <v>87</v>
      </c>
      <c r="B14" s="2">
        <v>3.85</v>
      </c>
      <c r="C14" s="2" t="s">
        <v>88</v>
      </c>
      <c r="D14" s="2">
        <v>1.45</v>
      </c>
      <c r="E14" s="2" t="s">
        <v>12</v>
      </c>
      <c r="F14" s="2">
        <v>0.32</v>
      </c>
      <c r="G14" s="2">
        <v>4.53125</v>
      </c>
      <c r="H14" s="8">
        <v>33.926000000000002</v>
      </c>
      <c r="I14" s="2" t="s">
        <v>156</v>
      </c>
      <c r="J14" s="2">
        <v>36</v>
      </c>
      <c r="K14" s="1">
        <v>56.789000000000001</v>
      </c>
      <c r="L14" s="2">
        <v>0.63392558418003486</v>
      </c>
      <c r="M14" s="2">
        <v>429.80213399999985</v>
      </c>
      <c r="N14" s="2">
        <v>202.95243900000003</v>
      </c>
      <c r="O14" s="2">
        <v>226.849568</v>
      </c>
      <c r="P14" s="2">
        <v>357.44907199999994</v>
      </c>
      <c r="Q14" s="2">
        <v>202.06143799999998</v>
      </c>
      <c r="R14" s="2">
        <v>155.387925</v>
      </c>
      <c r="S14" s="2">
        <v>1.202415022635728</v>
      </c>
      <c r="T14" s="2">
        <v>8</v>
      </c>
      <c r="U14" s="2">
        <v>4</v>
      </c>
      <c r="V14" s="2">
        <v>0</v>
      </c>
      <c r="W14" s="2">
        <v>12</v>
      </c>
      <c r="X14" s="2">
        <v>11</v>
      </c>
      <c r="Y14" s="2">
        <v>1</v>
      </c>
      <c r="Z14" s="2">
        <v>0</v>
      </c>
      <c r="AA14" s="2">
        <v>12</v>
      </c>
      <c r="AB14" s="2">
        <v>1</v>
      </c>
      <c r="AC14" s="11">
        <f t="shared" si="0"/>
        <v>2.4315105615443069</v>
      </c>
    </row>
    <row r="15" spans="1:29" ht="17">
      <c r="A15" s="2" t="s">
        <v>89</v>
      </c>
      <c r="B15" s="2">
        <v>6.02</v>
      </c>
      <c r="C15" s="2" t="s">
        <v>90</v>
      </c>
      <c r="D15" s="2">
        <v>55.44</v>
      </c>
      <c r="E15" s="2" t="s">
        <v>13</v>
      </c>
      <c r="F15" s="2">
        <v>25.3</v>
      </c>
      <c r="G15" s="2">
        <v>0.23794466403162054</v>
      </c>
      <c r="H15" s="8">
        <v>40.637</v>
      </c>
      <c r="I15" s="2" t="s">
        <v>153</v>
      </c>
      <c r="J15" s="2">
        <v>54</v>
      </c>
      <c r="K15" s="1">
        <v>93.296999999999997</v>
      </c>
      <c r="L15" s="2">
        <v>0.57879674587607322</v>
      </c>
      <c r="M15" s="2">
        <v>484.62799999999999</v>
      </c>
      <c r="N15" s="2">
        <v>248.76957599999997</v>
      </c>
      <c r="O15" s="2">
        <v>235.85872900000001</v>
      </c>
      <c r="P15" s="2">
        <v>482.00619000000006</v>
      </c>
      <c r="Q15" s="2">
        <v>240.19939799999997</v>
      </c>
      <c r="R15" s="2">
        <v>241.80681799999999</v>
      </c>
      <c r="S15" s="2">
        <v>1.0054393699798749</v>
      </c>
      <c r="T15" s="2">
        <v>19</v>
      </c>
      <c r="U15" s="2">
        <v>3</v>
      </c>
      <c r="V15" s="2">
        <v>1</v>
      </c>
      <c r="W15" s="2">
        <v>23</v>
      </c>
      <c r="X15" s="2">
        <v>10</v>
      </c>
      <c r="Y15" s="2">
        <v>8</v>
      </c>
      <c r="Z15" s="2">
        <v>1</v>
      </c>
      <c r="AA15" s="2">
        <v>19</v>
      </c>
      <c r="AB15" s="2">
        <v>0.82608695652173914</v>
      </c>
      <c r="AC15" s="11">
        <f t="shared" si="0"/>
        <v>2.3994443324179375</v>
      </c>
    </row>
    <row r="16" spans="1:29" ht="17">
      <c r="A16" s="2" t="s">
        <v>91</v>
      </c>
      <c r="B16" s="2">
        <v>20.52</v>
      </c>
      <c r="C16" s="2" t="s">
        <v>90</v>
      </c>
      <c r="D16" s="2">
        <v>55.44</v>
      </c>
      <c r="E16" s="2" t="s">
        <v>14</v>
      </c>
      <c r="F16" s="2">
        <v>14.1</v>
      </c>
      <c r="G16" s="2">
        <v>1.4553191489361703</v>
      </c>
      <c r="H16" s="8">
        <v>17.477</v>
      </c>
      <c r="I16" s="2" t="s">
        <v>153</v>
      </c>
      <c r="J16" s="2">
        <v>54</v>
      </c>
      <c r="K16" s="1">
        <v>63.207999999999998</v>
      </c>
      <c r="L16" s="2">
        <v>0.85432223769143145</v>
      </c>
      <c r="M16" s="2">
        <v>424.37407200000007</v>
      </c>
      <c r="N16" s="2">
        <v>179.39616700000002</v>
      </c>
      <c r="O16" s="2">
        <v>244.97758200000001</v>
      </c>
      <c r="P16" s="2">
        <v>482.00619000000006</v>
      </c>
      <c r="Q16" s="2">
        <v>240.19939799999997</v>
      </c>
      <c r="R16" s="2">
        <v>241.80681799999999</v>
      </c>
      <c r="S16" s="2">
        <v>0.88043282597677841</v>
      </c>
      <c r="T16" s="2">
        <v>9</v>
      </c>
      <c r="U16" s="2">
        <v>4</v>
      </c>
      <c r="V16" s="2">
        <v>0</v>
      </c>
      <c r="W16" s="2">
        <v>13</v>
      </c>
      <c r="X16" s="2">
        <v>10</v>
      </c>
      <c r="Y16" s="2">
        <v>8</v>
      </c>
      <c r="Z16" s="2">
        <v>1</v>
      </c>
      <c r="AA16" s="2">
        <v>19</v>
      </c>
      <c r="AB16" s="2">
        <v>1.4615384615384615</v>
      </c>
      <c r="AC16" s="11">
        <f t="shared" si="0"/>
        <v>2.2732166021297484</v>
      </c>
    </row>
    <row r="17" spans="1:29" ht="17">
      <c r="A17" s="2" t="s">
        <v>92</v>
      </c>
      <c r="B17" s="2">
        <v>15.194000000000001</v>
      </c>
      <c r="C17" s="2" t="s">
        <v>93</v>
      </c>
      <c r="D17" s="2">
        <v>5.7539999999999996</v>
      </c>
      <c r="E17" s="2" t="s">
        <v>15</v>
      </c>
      <c r="F17" s="2">
        <v>0.27500000000000002</v>
      </c>
      <c r="G17" s="2">
        <v>20.923636363636362</v>
      </c>
      <c r="H17" s="8">
        <v>6.7009999999999996</v>
      </c>
      <c r="I17" s="2" t="s">
        <v>157</v>
      </c>
      <c r="J17" s="2">
        <v>72</v>
      </c>
      <c r="K17" s="1">
        <v>47.65</v>
      </c>
      <c r="L17" s="2">
        <v>1.5110178384050368</v>
      </c>
      <c r="M17" s="2">
        <v>448.82103200000006</v>
      </c>
      <c r="N17" s="2">
        <v>268.22760800000003</v>
      </c>
      <c r="O17" s="2">
        <v>180.59354999999996</v>
      </c>
      <c r="P17" s="2">
        <v>661.74732400000005</v>
      </c>
      <c r="Q17" s="2">
        <v>291.14325199999996</v>
      </c>
      <c r="R17" s="2">
        <v>370.60434800000002</v>
      </c>
      <c r="S17" s="2">
        <v>0.67823626287909256</v>
      </c>
      <c r="T17" s="2">
        <v>19</v>
      </c>
      <c r="U17" s="2">
        <v>4</v>
      </c>
      <c r="V17" s="2">
        <v>0</v>
      </c>
      <c r="W17" s="2">
        <v>23</v>
      </c>
      <c r="X17" s="2">
        <v>11</v>
      </c>
      <c r="Y17" s="2">
        <v>10</v>
      </c>
      <c r="Z17" s="2">
        <v>0</v>
      </c>
      <c r="AA17" s="2">
        <v>21</v>
      </c>
      <c r="AB17" s="2">
        <v>0.91304347826086951</v>
      </c>
      <c r="AC17" s="11">
        <f t="shared" si="0"/>
        <v>2.0802619027349252</v>
      </c>
    </row>
    <row r="18" spans="1:29" ht="17">
      <c r="A18" s="2" t="s">
        <v>94</v>
      </c>
      <c r="B18" s="2">
        <v>0.23</v>
      </c>
      <c r="C18" s="2" t="s">
        <v>95</v>
      </c>
      <c r="D18" s="2">
        <v>5.0000000000000001E-3</v>
      </c>
      <c r="E18" s="2" t="s">
        <v>16</v>
      </c>
      <c r="F18" s="2">
        <v>3.8399999999999997E-2</v>
      </c>
      <c r="G18" s="2">
        <v>0.13020833333333334</v>
      </c>
      <c r="H18" s="8">
        <v>-2.1539999999999999</v>
      </c>
      <c r="I18" s="2" t="s">
        <v>153</v>
      </c>
      <c r="J18" s="2">
        <v>54</v>
      </c>
      <c r="K18" s="1">
        <v>35.637999999999998</v>
      </c>
      <c r="L18" s="2">
        <v>1.5152365452606769</v>
      </c>
      <c r="M18" s="2">
        <v>486.06132899999994</v>
      </c>
      <c r="N18" s="2">
        <v>272.50669399999998</v>
      </c>
      <c r="O18" s="2">
        <v>213.55447399999994</v>
      </c>
      <c r="P18" s="2">
        <v>496.12295900000015</v>
      </c>
      <c r="Q18" s="2">
        <v>274.74083200000001</v>
      </c>
      <c r="R18" s="2">
        <v>221.381981</v>
      </c>
      <c r="S18" s="2">
        <v>0.97971948320980606</v>
      </c>
      <c r="T18" s="2">
        <v>11</v>
      </c>
      <c r="U18" s="2">
        <v>4</v>
      </c>
      <c r="V18" s="2">
        <v>1</v>
      </c>
      <c r="W18" s="2">
        <v>16</v>
      </c>
      <c r="X18" s="2">
        <v>8</v>
      </c>
      <c r="Y18" s="2">
        <v>1</v>
      </c>
      <c r="Z18" s="2">
        <v>2</v>
      </c>
      <c r="AA18" s="2">
        <v>11</v>
      </c>
      <c r="AB18" s="2">
        <v>0.6875</v>
      </c>
      <c r="AC18" s="11">
        <f t="shared" si="0"/>
        <v>2.1519829379491293</v>
      </c>
    </row>
    <row r="19" spans="1:29" ht="17">
      <c r="A19" s="2" t="s">
        <v>96</v>
      </c>
      <c r="B19" s="2">
        <v>2720</v>
      </c>
      <c r="C19" s="2" t="s">
        <v>97</v>
      </c>
      <c r="D19" s="2">
        <v>60.3</v>
      </c>
      <c r="E19" s="2" t="s">
        <v>17</v>
      </c>
      <c r="F19" s="2">
        <v>35.700000000000003</v>
      </c>
      <c r="G19" s="2">
        <v>1.6890756302521006</v>
      </c>
      <c r="H19" s="8">
        <v>19.088000000000001</v>
      </c>
      <c r="I19" s="2" t="s">
        <v>153</v>
      </c>
      <c r="J19" s="2">
        <v>54</v>
      </c>
      <c r="K19" s="1">
        <v>82.793000000000006</v>
      </c>
      <c r="L19" s="2">
        <v>0.65222905318082447</v>
      </c>
      <c r="M19" s="2">
        <v>386.17693000000008</v>
      </c>
      <c r="N19" s="2">
        <v>229.68125099999997</v>
      </c>
      <c r="O19" s="2">
        <v>156.49588899999998</v>
      </c>
      <c r="P19" s="2">
        <v>414.461162</v>
      </c>
      <c r="Q19" s="2">
        <v>172.279886</v>
      </c>
      <c r="R19" s="2">
        <v>242.18111999999996</v>
      </c>
      <c r="S19" s="2">
        <v>0.93175661655844144</v>
      </c>
      <c r="T19" s="2">
        <v>10</v>
      </c>
      <c r="U19" s="2">
        <v>1</v>
      </c>
      <c r="V19" s="2">
        <v>0</v>
      </c>
      <c r="W19" s="2">
        <v>11</v>
      </c>
      <c r="X19" s="2">
        <v>6</v>
      </c>
      <c r="Y19" s="2">
        <v>10</v>
      </c>
      <c r="Z19" s="2">
        <v>0</v>
      </c>
      <c r="AA19" s="2">
        <v>16</v>
      </c>
      <c r="AB19" s="2">
        <v>1.4545454545454546</v>
      </c>
      <c r="AC19" s="11">
        <f t="shared" si="0"/>
        <v>2.1294402151938114</v>
      </c>
    </row>
    <row r="20" spans="1:29" ht="17">
      <c r="A20" s="2" t="s">
        <v>98</v>
      </c>
      <c r="B20" s="2">
        <v>429</v>
      </c>
      <c r="C20" s="2" t="s">
        <v>96</v>
      </c>
      <c r="D20" s="2">
        <v>2720</v>
      </c>
      <c r="E20" s="2" t="s">
        <v>18</v>
      </c>
      <c r="F20" s="2">
        <v>32.1</v>
      </c>
      <c r="G20" s="2">
        <v>13.364485981308411</v>
      </c>
      <c r="H20" s="8">
        <v>19.111999999999998</v>
      </c>
      <c r="I20" s="2" t="s">
        <v>153</v>
      </c>
      <c r="J20" s="2">
        <v>54</v>
      </c>
      <c r="K20" s="1">
        <v>50.429000000000002</v>
      </c>
      <c r="L20" s="2">
        <v>1.0708124293561243</v>
      </c>
      <c r="M20" s="2">
        <v>417.10338899999994</v>
      </c>
      <c r="N20" s="2">
        <v>185.82201900000001</v>
      </c>
      <c r="O20" s="2">
        <v>231.28142499999998</v>
      </c>
      <c r="P20" s="2">
        <v>386.17693000000008</v>
      </c>
      <c r="Q20" s="2">
        <v>229.68125099999997</v>
      </c>
      <c r="R20" s="2">
        <v>156.49588899999998</v>
      </c>
      <c r="S20" s="2">
        <v>1.0800836523300339</v>
      </c>
      <c r="T20" s="2">
        <v>13</v>
      </c>
      <c r="U20" s="2">
        <v>4</v>
      </c>
      <c r="V20" s="2">
        <v>0</v>
      </c>
      <c r="W20" s="2">
        <v>17</v>
      </c>
      <c r="X20" s="2">
        <v>10</v>
      </c>
      <c r="Y20" s="2">
        <v>1</v>
      </c>
      <c r="Z20" s="2">
        <v>0</v>
      </c>
      <c r="AA20" s="2">
        <v>11</v>
      </c>
      <c r="AB20" s="2">
        <v>0.6470588235294118</v>
      </c>
      <c r="AC20" s="11">
        <f t="shared" si="0"/>
        <v>2.4961627418432535</v>
      </c>
    </row>
    <row r="21" spans="1:29" ht="17">
      <c r="A21" s="2" t="s">
        <v>98</v>
      </c>
      <c r="B21" s="2">
        <v>429</v>
      </c>
      <c r="C21" s="2" t="s">
        <v>97</v>
      </c>
      <c r="D21" s="2">
        <v>60.3</v>
      </c>
      <c r="E21" s="2" t="s">
        <v>19</v>
      </c>
      <c r="F21" s="2">
        <v>30.7</v>
      </c>
      <c r="G21" s="2">
        <v>1.9641693811074918</v>
      </c>
      <c r="H21" s="8">
        <v>-1.4279999999999999</v>
      </c>
      <c r="I21" s="2" t="s">
        <v>153</v>
      </c>
      <c r="J21" s="2">
        <v>54</v>
      </c>
      <c r="K21" s="1">
        <v>50.972000000000001</v>
      </c>
      <c r="L21" s="2">
        <v>1.0594051636192419</v>
      </c>
      <c r="M21" s="2">
        <v>417.10338899999994</v>
      </c>
      <c r="N21" s="2">
        <v>185.82201900000001</v>
      </c>
      <c r="O21" s="2">
        <v>231.28142499999998</v>
      </c>
      <c r="P21" s="2">
        <v>414.461162</v>
      </c>
      <c r="Q21" s="2">
        <v>172.279886</v>
      </c>
      <c r="R21" s="2">
        <v>242.18111999999996</v>
      </c>
      <c r="S21" s="2">
        <v>1.0063750894951164</v>
      </c>
      <c r="T21" s="2">
        <v>13</v>
      </c>
      <c r="U21" s="2">
        <v>4</v>
      </c>
      <c r="V21" s="2">
        <v>0</v>
      </c>
      <c r="W21" s="2">
        <v>17</v>
      </c>
      <c r="X21" s="2">
        <v>6</v>
      </c>
      <c r="Y21" s="2">
        <v>10</v>
      </c>
      <c r="Z21" s="2">
        <v>0</v>
      </c>
      <c r="AA21" s="2">
        <v>16</v>
      </c>
      <c r="AB21" s="2">
        <v>0.94117647058823528</v>
      </c>
      <c r="AC21" s="11">
        <f t="shared" si="0"/>
        <v>2.875396217473877</v>
      </c>
    </row>
    <row r="22" spans="1:29" ht="17">
      <c r="A22" s="2" t="s">
        <v>98</v>
      </c>
      <c r="B22" s="2">
        <v>429</v>
      </c>
      <c r="C22" s="2" t="s">
        <v>99</v>
      </c>
      <c r="D22" s="2">
        <v>38.5</v>
      </c>
      <c r="E22" s="2" t="s">
        <v>20</v>
      </c>
      <c r="F22" s="2">
        <v>6.39</v>
      </c>
      <c r="G22" s="2">
        <v>6.0250391236306733</v>
      </c>
      <c r="H22" s="8">
        <v>-1.712</v>
      </c>
      <c r="I22" s="2" t="s">
        <v>153</v>
      </c>
      <c r="J22" s="2">
        <v>54</v>
      </c>
      <c r="K22" s="1">
        <v>18.571000000000002</v>
      </c>
      <c r="L22" s="2">
        <v>2.9077594098325346</v>
      </c>
      <c r="M22" s="2">
        <v>417.10338899999994</v>
      </c>
      <c r="N22" s="2">
        <v>185.82201900000001</v>
      </c>
      <c r="O22" s="2">
        <v>231.28142499999998</v>
      </c>
      <c r="P22" s="2">
        <v>532.86064199999998</v>
      </c>
      <c r="Q22" s="2">
        <v>327.33866999999992</v>
      </c>
      <c r="R22" s="2">
        <v>205.52202199999994</v>
      </c>
      <c r="S22" s="2">
        <v>0.78276261394437896</v>
      </c>
      <c r="T22" s="2">
        <v>13</v>
      </c>
      <c r="U22" s="2">
        <v>4</v>
      </c>
      <c r="V22" s="2">
        <v>0</v>
      </c>
      <c r="W22" s="2">
        <v>17</v>
      </c>
      <c r="X22" s="2">
        <v>13</v>
      </c>
      <c r="Y22" s="2">
        <v>5</v>
      </c>
      <c r="Z22" s="2">
        <v>0</v>
      </c>
      <c r="AA22" s="2">
        <v>18</v>
      </c>
      <c r="AB22" s="2">
        <v>1.0588235294117647</v>
      </c>
      <c r="AC22" s="11">
        <f t="shared" si="0"/>
        <v>1.7239390845326144</v>
      </c>
    </row>
    <row r="23" spans="1:29" ht="17">
      <c r="A23" s="2" t="s">
        <v>99</v>
      </c>
      <c r="B23" s="2">
        <v>38.5</v>
      </c>
      <c r="C23" s="2" t="s">
        <v>97</v>
      </c>
      <c r="D23" s="2">
        <v>60.3</v>
      </c>
      <c r="E23" s="2" t="s">
        <v>21</v>
      </c>
      <c r="F23" s="2">
        <v>340</v>
      </c>
      <c r="G23" s="2">
        <v>0.11323529411764706</v>
      </c>
      <c r="H23" s="8">
        <v>7.02</v>
      </c>
      <c r="I23" s="2" t="s">
        <v>153</v>
      </c>
      <c r="J23" s="2">
        <v>54</v>
      </c>
      <c r="K23" s="1">
        <v>61.042999999999999</v>
      </c>
      <c r="L23" s="2">
        <v>0.88462231541700109</v>
      </c>
      <c r="M23" s="2">
        <v>532.86064199999998</v>
      </c>
      <c r="N23" s="2">
        <v>327.33866999999992</v>
      </c>
      <c r="O23" s="2">
        <v>205.52202199999994</v>
      </c>
      <c r="P23" s="2">
        <v>414.461162</v>
      </c>
      <c r="Q23" s="2">
        <v>172.279886</v>
      </c>
      <c r="R23" s="2">
        <v>242.18111999999996</v>
      </c>
      <c r="S23" s="2">
        <v>1.2856708682392779</v>
      </c>
      <c r="T23" s="2">
        <v>13</v>
      </c>
      <c r="U23" s="2">
        <v>5</v>
      </c>
      <c r="V23" s="2">
        <v>0</v>
      </c>
      <c r="W23" s="2">
        <v>18</v>
      </c>
      <c r="X23" s="2">
        <v>6</v>
      </c>
      <c r="Y23" s="2">
        <v>10</v>
      </c>
      <c r="Z23" s="2">
        <v>0</v>
      </c>
      <c r="AA23" s="2">
        <v>16</v>
      </c>
      <c r="AB23" s="2">
        <v>0.88888888888888884</v>
      </c>
      <c r="AC23" s="11">
        <f t="shared" si="0"/>
        <v>2.4878403360666121</v>
      </c>
    </row>
    <row r="24" spans="1:29" ht="17">
      <c r="A24" s="2" t="s">
        <v>100</v>
      </c>
      <c r="B24" s="2">
        <v>0.72</v>
      </c>
      <c r="C24" s="2" t="s">
        <v>95</v>
      </c>
      <c r="D24" s="2">
        <v>5.0000000000000001E-3</v>
      </c>
      <c r="E24" s="2" t="s">
        <v>22</v>
      </c>
      <c r="F24" s="2">
        <v>2.7000000000000001E-3</v>
      </c>
      <c r="G24" s="2">
        <v>1.8518518518518519</v>
      </c>
      <c r="H24" s="8">
        <v>3.681</v>
      </c>
      <c r="I24" s="2" t="s">
        <v>153</v>
      </c>
      <c r="J24" s="2">
        <v>54</v>
      </c>
      <c r="K24" s="1">
        <v>40.094999999999999</v>
      </c>
      <c r="L24" s="2">
        <v>1.3468013468013469</v>
      </c>
      <c r="M24" s="2">
        <v>463.15105899999998</v>
      </c>
      <c r="N24" s="2">
        <v>231.31555700000001</v>
      </c>
      <c r="O24" s="2">
        <v>231.83537099999995</v>
      </c>
      <c r="P24" s="2">
        <v>496.12295900000015</v>
      </c>
      <c r="Q24" s="2">
        <v>274.74083200000001</v>
      </c>
      <c r="R24" s="2">
        <v>221.381981</v>
      </c>
      <c r="S24" s="2">
        <v>0.93354087045989709</v>
      </c>
      <c r="T24" s="2">
        <v>11</v>
      </c>
      <c r="U24" s="2">
        <v>6</v>
      </c>
      <c r="V24" s="2">
        <v>0</v>
      </c>
      <c r="W24" s="2">
        <v>17</v>
      </c>
      <c r="X24" s="2">
        <v>8</v>
      </c>
      <c r="Y24" s="2">
        <v>1</v>
      </c>
      <c r="Z24" s="2">
        <v>2</v>
      </c>
      <c r="AA24" s="2">
        <v>11</v>
      </c>
      <c r="AB24" s="2">
        <v>0.6470588235294118</v>
      </c>
      <c r="AC24" s="11">
        <f t="shared" si="0"/>
        <v>2.2337983471879621</v>
      </c>
    </row>
    <row r="25" spans="1:29" ht="17">
      <c r="A25" s="2" t="s">
        <v>101</v>
      </c>
      <c r="B25" s="2">
        <v>0.11</v>
      </c>
      <c r="C25" s="2" t="s">
        <v>102</v>
      </c>
      <c r="D25" s="2">
        <v>0.23</v>
      </c>
      <c r="E25" s="2" t="s">
        <v>23</v>
      </c>
      <c r="F25" s="2">
        <v>1.0399999999999999E-3</v>
      </c>
      <c r="G25" s="2">
        <v>105.76923076923077</v>
      </c>
      <c r="H25" s="8">
        <v>26.31</v>
      </c>
      <c r="I25" s="2" t="s">
        <v>153</v>
      </c>
      <c r="J25" s="2">
        <v>54</v>
      </c>
      <c r="K25" s="1">
        <v>58.104999999999997</v>
      </c>
      <c r="L25" s="2">
        <v>0.92935203510885467</v>
      </c>
      <c r="M25" s="2">
        <v>495.886729</v>
      </c>
      <c r="N25" s="2">
        <v>267.831682</v>
      </c>
      <c r="O25" s="2">
        <v>228.05522299999998</v>
      </c>
      <c r="P25" s="2">
        <v>486.06132899999994</v>
      </c>
      <c r="Q25" s="2">
        <v>272.50669399999998</v>
      </c>
      <c r="R25" s="2">
        <v>213.55447399999994</v>
      </c>
      <c r="S25" s="2">
        <v>1.020214321555295</v>
      </c>
      <c r="T25" s="2">
        <v>16</v>
      </c>
      <c r="U25" s="2">
        <v>1</v>
      </c>
      <c r="V25" s="2">
        <v>0</v>
      </c>
      <c r="W25" s="2">
        <v>17</v>
      </c>
      <c r="X25" s="2">
        <v>11</v>
      </c>
      <c r="Y25" s="2">
        <v>4</v>
      </c>
      <c r="Z25" s="2">
        <v>1</v>
      </c>
      <c r="AA25" s="2">
        <v>16</v>
      </c>
      <c r="AB25" s="2">
        <v>0.94117647058823528</v>
      </c>
      <c r="AC25" s="11">
        <f t="shared" si="0"/>
        <v>2.8503141841417952</v>
      </c>
    </row>
    <row r="26" spans="1:29" ht="17">
      <c r="A26" s="2" t="s">
        <v>103</v>
      </c>
      <c r="B26" s="2">
        <v>0.34100000000000003</v>
      </c>
      <c r="C26" s="2" t="s">
        <v>104</v>
      </c>
      <c r="D26" s="2">
        <v>0.35499999999999998</v>
      </c>
      <c r="E26" s="2" t="s">
        <v>24</v>
      </c>
      <c r="F26" s="2">
        <v>1.9900000000000001E-2</v>
      </c>
      <c r="G26" s="2">
        <v>17.1356783919598</v>
      </c>
      <c r="H26" s="8">
        <v>14.042</v>
      </c>
      <c r="I26" s="2" t="s">
        <v>155</v>
      </c>
      <c r="J26" s="2">
        <v>110.86799999999999</v>
      </c>
      <c r="K26" s="1">
        <v>76.138000000000005</v>
      </c>
      <c r="L26" s="2">
        <v>1.4561454201581336</v>
      </c>
      <c r="M26" s="2">
        <v>489.24513900000005</v>
      </c>
      <c r="N26" s="2">
        <v>303.38921000000011</v>
      </c>
      <c r="O26" s="2">
        <v>185.85607799999997</v>
      </c>
      <c r="P26" s="2">
        <v>399.971991</v>
      </c>
      <c r="Q26" s="2">
        <v>150.96348300000002</v>
      </c>
      <c r="R26" s="2">
        <v>249.008521</v>
      </c>
      <c r="S26" s="2">
        <v>1.2231984989168905</v>
      </c>
      <c r="T26" s="2">
        <v>15</v>
      </c>
      <c r="U26" s="2">
        <v>1</v>
      </c>
      <c r="V26" s="2">
        <v>1</v>
      </c>
      <c r="W26" s="2">
        <v>17</v>
      </c>
      <c r="X26" s="2">
        <v>8</v>
      </c>
      <c r="Y26" s="2">
        <v>8</v>
      </c>
      <c r="Z26" s="2">
        <v>0</v>
      </c>
      <c r="AA26" s="2">
        <v>16</v>
      </c>
      <c r="AB26" s="2">
        <v>0.94117647058823528</v>
      </c>
      <c r="AC26" s="11">
        <f t="shared" si="0"/>
        <v>2.2618325515132112</v>
      </c>
    </row>
    <row r="27" spans="1:29" ht="17">
      <c r="A27" s="2" t="s">
        <v>105</v>
      </c>
      <c r="B27" s="2">
        <v>3.86</v>
      </c>
      <c r="C27" s="2" t="s">
        <v>106</v>
      </c>
      <c r="D27" s="2">
        <v>4.2</v>
      </c>
      <c r="E27" s="2" t="s">
        <v>25</v>
      </c>
      <c r="F27" s="2">
        <v>0.11</v>
      </c>
      <c r="G27" s="2">
        <v>35.090909090909086</v>
      </c>
      <c r="H27" s="8">
        <v>5.8849999999999998</v>
      </c>
      <c r="I27" s="2" t="s">
        <v>153</v>
      </c>
      <c r="J27" s="2">
        <v>54</v>
      </c>
      <c r="K27" s="1">
        <v>65.063999999999993</v>
      </c>
      <c r="L27" s="2">
        <v>0.82995204721504989</v>
      </c>
      <c r="M27" s="2">
        <v>359.81887700000004</v>
      </c>
      <c r="N27" s="2">
        <v>151.80506000000003</v>
      </c>
      <c r="O27" s="2">
        <v>208.01376900000002</v>
      </c>
      <c r="P27" s="2">
        <v>297.57376400000004</v>
      </c>
      <c r="Q27" s="2">
        <v>170.54095799999999</v>
      </c>
      <c r="R27" s="2">
        <v>127.03274100000003</v>
      </c>
      <c r="S27" s="2">
        <v>1.2091754063372333</v>
      </c>
      <c r="T27" s="2">
        <v>10</v>
      </c>
      <c r="U27" s="2">
        <v>3</v>
      </c>
      <c r="V27" s="2">
        <v>1</v>
      </c>
      <c r="W27" s="2">
        <v>14</v>
      </c>
      <c r="X27" s="2">
        <v>8</v>
      </c>
      <c r="Y27" s="2">
        <v>0</v>
      </c>
      <c r="Z27" s="2">
        <v>0</v>
      </c>
      <c r="AA27" s="2">
        <v>8</v>
      </c>
      <c r="AB27" s="2">
        <v>0.5714285714285714</v>
      </c>
      <c r="AC27" s="11">
        <f t="shared" si="0"/>
        <v>2.192205212306388</v>
      </c>
    </row>
    <row r="28" spans="1:29" ht="17">
      <c r="A28" s="2" t="s">
        <v>107</v>
      </c>
      <c r="B28" s="2">
        <v>1</v>
      </c>
      <c r="C28" s="2" t="s">
        <v>108</v>
      </c>
      <c r="D28" s="2">
        <v>27</v>
      </c>
      <c r="E28" s="2" t="s">
        <v>26</v>
      </c>
      <c r="F28" s="2">
        <v>0.72</v>
      </c>
      <c r="G28" s="2">
        <v>1.3888888888888888</v>
      </c>
      <c r="H28" s="8">
        <v>-2.15</v>
      </c>
      <c r="I28" s="2" t="s">
        <v>159</v>
      </c>
      <c r="J28" s="2">
        <v>108</v>
      </c>
      <c r="K28" s="1">
        <v>33.398000000000003</v>
      </c>
      <c r="L28" s="2">
        <v>3.2337265704533205</v>
      </c>
      <c r="M28" s="2">
        <v>620.34314599999982</v>
      </c>
      <c r="N28" s="2">
        <v>356.100728</v>
      </c>
      <c r="O28" s="2">
        <v>264.24261799999999</v>
      </c>
      <c r="P28" s="2">
        <v>371.036607</v>
      </c>
      <c r="Q28" s="2">
        <v>216.47998900000002</v>
      </c>
      <c r="R28" s="2">
        <v>154.55688000000001</v>
      </c>
      <c r="S28" s="2">
        <v>1.6719189812987909</v>
      </c>
      <c r="T28" s="2">
        <v>16</v>
      </c>
      <c r="U28" s="2">
        <v>3</v>
      </c>
      <c r="V28" s="2">
        <v>0</v>
      </c>
      <c r="W28" s="2">
        <v>19</v>
      </c>
      <c r="X28" s="2">
        <v>8</v>
      </c>
      <c r="Y28" s="2">
        <v>3</v>
      </c>
      <c r="Z28" s="2">
        <v>0</v>
      </c>
      <c r="AA28" s="2">
        <v>11</v>
      </c>
      <c r="AB28" s="2">
        <v>0.57894736842105299</v>
      </c>
      <c r="AC28" s="11">
        <f t="shared" si="0"/>
        <v>1.0789473684210531</v>
      </c>
    </row>
    <row r="29" spans="1:29" ht="17">
      <c r="A29" s="3" t="s">
        <v>166</v>
      </c>
      <c r="B29" s="3">
        <v>47.1</v>
      </c>
      <c r="C29" s="3" t="s">
        <v>167</v>
      </c>
      <c r="D29" s="3">
        <v>85.7</v>
      </c>
      <c r="E29" s="3" t="s">
        <v>168</v>
      </c>
      <c r="F29" s="3">
        <v>0.56999999999999995</v>
      </c>
      <c r="G29" s="3">
        <v>82.631578947368425</v>
      </c>
      <c r="H29" s="8">
        <v>7.9550000000000001</v>
      </c>
      <c r="I29" s="2" t="s">
        <v>152</v>
      </c>
      <c r="J29" s="3">
        <v>22.091000000000001</v>
      </c>
      <c r="K29" s="1">
        <v>38.228999999999999</v>
      </c>
      <c r="L29" s="3">
        <v>0.57785973998796725</v>
      </c>
      <c r="M29" s="3">
        <v>438.98523300000005</v>
      </c>
      <c r="N29" s="3">
        <v>223.21490899999998</v>
      </c>
      <c r="O29" s="3">
        <v>215.770454</v>
      </c>
      <c r="P29" s="3">
        <v>419.2473379999999</v>
      </c>
      <c r="Q29" s="3">
        <v>228.12849800000004</v>
      </c>
      <c r="R29" s="3">
        <v>191.11882900000003</v>
      </c>
      <c r="S29" s="3">
        <f t="shared" ref="S29" si="1">M29/P29</f>
        <v>1.0470793567686294</v>
      </c>
      <c r="T29" s="3">
        <v>5</v>
      </c>
      <c r="U29" s="3">
        <v>0</v>
      </c>
      <c r="V29" s="3">
        <v>1</v>
      </c>
      <c r="W29" s="3">
        <v>6</v>
      </c>
      <c r="X29" s="3">
        <v>9</v>
      </c>
      <c r="Y29" s="3">
        <v>2</v>
      </c>
      <c r="Z29" s="3">
        <v>1</v>
      </c>
      <c r="AA29" s="3">
        <v>12</v>
      </c>
      <c r="AB29" s="3">
        <v>2</v>
      </c>
      <c r="AC29" s="11">
        <f t="shared" si="0"/>
        <v>2.0307803832193381</v>
      </c>
    </row>
    <row r="30" spans="1:29" ht="17">
      <c r="A30" s="2" t="s">
        <v>109</v>
      </c>
      <c r="B30" s="2">
        <v>1.6</v>
      </c>
      <c r="C30" s="2" t="s">
        <v>110</v>
      </c>
      <c r="D30" s="2">
        <v>2.2999999999999998</v>
      </c>
      <c r="E30" s="2" t="s">
        <v>27</v>
      </c>
      <c r="F30" s="2">
        <v>0.76</v>
      </c>
      <c r="G30" s="2">
        <v>2.1052631578947367</v>
      </c>
      <c r="H30" s="8">
        <v>17.094000000000001</v>
      </c>
      <c r="I30" s="2" t="s">
        <v>156</v>
      </c>
      <c r="J30" s="2">
        <v>36</v>
      </c>
      <c r="K30" s="1">
        <v>59.698999999999998</v>
      </c>
      <c r="L30" s="2">
        <v>0.60302517630111063</v>
      </c>
      <c r="M30" s="2">
        <v>411.02797799999991</v>
      </c>
      <c r="N30" s="2">
        <v>231.819399</v>
      </c>
      <c r="O30" s="2">
        <v>179.20848599999999</v>
      </c>
      <c r="P30" s="2">
        <v>429.99614200000002</v>
      </c>
      <c r="Q30" s="2">
        <v>204.96546999999998</v>
      </c>
      <c r="R30" s="2">
        <v>225.03073000000001</v>
      </c>
      <c r="S30" s="2">
        <v>0.95588759491707231</v>
      </c>
      <c r="T30" s="2">
        <v>6</v>
      </c>
      <c r="U30" s="2">
        <v>5</v>
      </c>
      <c r="V30" s="2">
        <v>0</v>
      </c>
      <c r="W30" s="2">
        <v>11</v>
      </c>
      <c r="X30" s="2">
        <v>12</v>
      </c>
      <c r="Y30" s="2">
        <v>4</v>
      </c>
      <c r="Z30" s="2">
        <v>0</v>
      </c>
      <c r="AA30" s="2">
        <v>16</v>
      </c>
      <c r="AB30" s="2">
        <v>1.4545454545454546</v>
      </c>
      <c r="AC30" s="11">
        <f t="shared" si="0"/>
        <v>2.1043673166727284</v>
      </c>
    </row>
    <row r="31" spans="1:29" ht="17">
      <c r="A31" s="2" t="s">
        <v>111</v>
      </c>
      <c r="B31" s="2">
        <v>1.86</v>
      </c>
      <c r="C31" s="2" t="s">
        <v>112</v>
      </c>
      <c r="D31" s="2">
        <v>8.92</v>
      </c>
      <c r="E31" s="2" t="s">
        <v>28</v>
      </c>
      <c r="F31" s="2">
        <v>0.2</v>
      </c>
      <c r="G31" s="2">
        <v>9.3000000000000007</v>
      </c>
      <c r="H31" s="8">
        <v>5.0880000000000001</v>
      </c>
      <c r="I31" s="2" t="s">
        <v>153</v>
      </c>
      <c r="J31" s="2">
        <v>54</v>
      </c>
      <c r="K31" s="1">
        <v>46.871000000000002</v>
      </c>
      <c r="L31" s="2">
        <v>1.1520983123893238</v>
      </c>
      <c r="M31" s="2">
        <v>424.46664699999997</v>
      </c>
      <c r="N31" s="2">
        <v>230.85500000000002</v>
      </c>
      <c r="O31" s="2">
        <v>193.61172199999999</v>
      </c>
      <c r="P31" s="2">
        <v>535.86573799999996</v>
      </c>
      <c r="Q31" s="2">
        <v>281.87187600000004</v>
      </c>
      <c r="R31" s="2">
        <v>253.99407699999998</v>
      </c>
      <c r="S31" s="2">
        <v>0.7921138018344438</v>
      </c>
      <c r="T31" s="2">
        <v>11</v>
      </c>
      <c r="U31" s="2">
        <v>1</v>
      </c>
      <c r="V31" s="2">
        <v>1</v>
      </c>
      <c r="W31" s="2">
        <v>13</v>
      </c>
      <c r="X31" s="2">
        <v>10</v>
      </c>
      <c r="Y31" s="2">
        <v>0</v>
      </c>
      <c r="Z31" s="2">
        <v>1</v>
      </c>
      <c r="AA31" s="2">
        <v>11</v>
      </c>
      <c r="AB31" s="2">
        <v>0.84615384615384615</v>
      </c>
      <c r="AC31" s="11">
        <f t="shared" si="0"/>
        <v>2.4861693355989662</v>
      </c>
    </row>
    <row r="32" spans="1:29" ht="17">
      <c r="A32" s="2" t="s">
        <v>112</v>
      </c>
      <c r="B32" s="2">
        <v>8.92</v>
      </c>
      <c r="C32" s="2" t="s">
        <v>111</v>
      </c>
      <c r="D32" s="2">
        <v>1.86</v>
      </c>
      <c r="E32" s="2" t="s">
        <v>29</v>
      </c>
      <c r="F32" s="2">
        <v>8.4000000000000005E-2</v>
      </c>
      <c r="G32" s="2">
        <v>22.142857142857142</v>
      </c>
      <c r="H32" s="8">
        <v>5.0880000000000001</v>
      </c>
      <c r="I32" s="2" t="s">
        <v>153</v>
      </c>
      <c r="J32" s="2">
        <v>54</v>
      </c>
      <c r="K32" s="1">
        <v>71.965999999999994</v>
      </c>
      <c r="L32" s="2">
        <v>0.75035433399105145</v>
      </c>
      <c r="M32" s="2">
        <v>535.86573799999996</v>
      </c>
      <c r="N32" s="2">
        <v>281.87187600000004</v>
      </c>
      <c r="O32" s="2">
        <v>253.99407699999998</v>
      </c>
      <c r="P32" s="2">
        <v>424.46664699999997</v>
      </c>
      <c r="Q32" s="2">
        <v>230.85500000000002</v>
      </c>
      <c r="R32" s="2">
        <v>193.61172199999999</v>
      </c>
      <c r="S32" s="2">
        <v>1.2624448629529188</v>
      </c>
      <c r="T32" s="2">
        <v>10</v>
      </c>
      <c r="U32" s="2">
        <v>0</v>
      </c>
      <c r="V32" s="2">
        <v>1</v>
      </c>
      <c r="W32" s="2">
        <v>11</v>
      </c>
      <c r="X32" s="2">
        <v>11</v>
      </c>
      <c r="Y32" s="2">
        <v>1</v>
      </c>
      <c r="Z32" s="2">
        <v>1</v>
      </c>
      <c r="AA32" s="2">
        <v>13</v>
      </c>
      <c r="AB32" s="2">
        <v>1.1818181818181819</v>
      </c>
      <c r="AC32" s="11">
        <f t="shared" si="0"/>
        <v>2.3060912892199505</v>
      </c>
    </row>
    <row r="33" spans="1:29" ht="17">
      <c r="A33" s="2" t="s">
        <v>113</v>
      </c>
      <c r="B33" s="2">
        <v>7</v>
      </c>
      <c r="C33" s="2" t="s">
        <v>114</v>
      </c>
      <c r="D33" s="2">
        <v>0.13</v>
      </c>
      <c r="E33" s="2" t="s">
        <v>30</v>
      </c>
      <c r="F33" s="2">
        <v>7.0000000000000007E-2</v>
      </c>
      <c r="G33" s="2">
        <v>1.857142857142857</v>
      </c>
      <c r="H33" s="8">
        <v>56.042999999999999</v>
      </c>
      <c r="I33" s="2" t="s">
        <v>153</v>
      </c>
      <c r="J33" s="2">
        <v>54</v>
      </c>
      <c r="K33" s="1">
        <v>107.259</v>
      </c>
      <c r="L33" s="2">
        <v>0.50345425558694379</v>
      </c>
      <c r="M33" s="2">
        <v>465.41650900000002</v>
      </c>
      <c r="N33" s="2">
        <v>252.97003199999997</v>
      </c>
      <c r="O33" s="2">
        <v>212.44645500000001</v>
      </c>
      <c r="P33" s="2">
        <v>415.80065200000013</v>
      </c>
      <c r="Q33" s="2">
        <v>225.33829100000003</v>
      </c>
      <c r="R33" s="2">
        <v>190.46222900000001</v>
      </c>
      <c r="S33" s="2">
        <v>1.1193260683006334</v>
      </c>
      <c r="T33" s="2">
        <v>8</v>
      </c>
      <c r="U33" s="2">
        <v>5</v>
      </c>
      <c r="V33" s="2">
        <v>1</v>
      </c>
      <c r="W33" s="2">
        <v>14</v>
      </c>
      <c r="X33" s="2">
        <v>14</v>
      </c>
      <c r="Y33" s="2">
        <v>1</v>
      </c>
      <c r="Z33" s="2">
        <v>1</v>
      </c>
      <c r="AA33" s="2">
        <v>16</v>
      </c>
      <c r="AB33" s="2">
        <v>1.1428571428571428</v>
      </c>
      <c r="AC33" s="11">
        <f t="shared" si="0"/>
        <v>2.2412710444291677</v>
      </c>
    </row>
    <row r="34" spans="1:29" ht="17">
      <c r="A34" s="2" t="s">
        <v>115</v>
      </c>
      <c r="B34" s="2">
        <v>16.7</v>
      </c>
      <c r="C34" s="2" t="s">
        <v>116</v>
      </c>
      <c r="D34" s="2">
        <v>70</v>
      </c>
      <c r="E34" s="2" t="s">
        <v>31</v>
      </c>
      <c r="F34" s="2">
        <v>19.899999999999999</v>
      </c>
      <c r="G34" s="2">
        <v>0.83919597989949701</v>
      </c>
      <c r="H34" s="2">
        <v>16.52</v>
      </c>
      <c r="I34" s="2" t="s">
        <v>157</v>
      </c>
      <c r="J34" s="2">
        <v>72</v>
      </c>
      <c r="K34" s="3">
        <v>60.186</v>
      </c>
      <c r="L34" s="2">
        <v>1.1962914963612801</v>
      </c>
      <c r="M34" s="2">
        <v>343.20392800000002</v>
      </c>
      <c r="N34" s="2">
        <v>167.31934000000001</v>
      </c>
      <c r="O34" s="2">
        <v>175.88467899999998</v>
      </c>
      <c r="P34" s="2">
        <v>455.26291700000002</v>
      </c>
      <c r="Q34" s="2">
        <v>248.35598899999999</v>
      </c>
      <c r="R34" s="2">
        <v>206.90690500000005</v>
      </c>
      <c r="S34" s="2">
        <v>0.75385873785103386</v>
      </c>
      <c r="T34" s="2">
        <v>9</v>
      </c>
      <c r="U34" s="2">
        <v>3</v>
      </c>
      <c r="V34" s="2">
        <v>0</v>
      </c>
      <c r="W34" s="2">
        <v>12</v>
      </c>
      <c r="X34" s="2">
        <v>6</v>
      </c>
      <c r="Y34" s="2">
        <v>6</v>
      </c>
      <c r="Z34" s="2">
        <v>1</v>
      </c>
      <c r="AA34" s="2">
        <v>13</v>
      </c>
      <c r="AB34" s="2">
        <v>1.0833333333333333</v>
      </c>
      <c r="AC34" s="11">
        <f t="shared" si="0"/>
        <v>2.4742339081564202</v>
      </c>
    </row>
    <row r="35" spans="1:29" ht="17">
      <c r="A35" s="2" t="s">
        <v>115</v>
      </c>
      <c r="B35" s="2">
        <v>867.3</v>
      </c>
      <c r="C35" s="2" t="s">
        <v>116</v>
      </c>
      <c r="D35" s="2">
        <v>209.8</v>
      </c>
      <c r="E35" s="2" t="s">
        <v>31</v>
      </c>
      <c r="F35" s="2">
        <v>23.1</v>
      </c>
      <c r="G35" s="2">
        <v>9.0822510822510818</v>
      </c>
      <c r="H35" s="2">
        <v>-26.19</v>
      </c>
      <c r="I35" s="2" t="s">
        <v>157</v>
      </c>
      <c r="J35" s="2">
        <v>72</v>
      </c>
      <c r="K35" s="3">
        <v>22.86</v>
      </c>
      <c r="L35" s="2">
        <v>3.1496062992125986</v>
      </c>
      <c r="M35" s="2">
        <v>245.92968800000003</v>
      </c>
      <c r="N35" s="2">
        <v>129.30007800000001</v>
      </c>
      <c r="O35" s="2">
        <v>116.629651</v>
      </c>
      <c r="P35" s="2">
        <v>443.05761199999995</v>
      </c>
      <c r="Q35" s="2">
        <v>273.54349500000006</v>
      </c>
      <c r="R35" s="2">
        <v>169.51407600000005</v>
      </c>
      <c r="S35" s="2">
        <v>0.55507383540901689</v>
      </c>
      <c r="T35" s="2">
        <v>3</v>
      </c>
      <c r="U35" s="2">
        <v>1</v>
      </c>
      <c r="V35" s="2">
        <v>0</v>
      </c>
      <c r="W35" s="2">
        <v>4</v>
      </c>
      <c r="X35" s="2">
        <v>12</v>
      </c>
      <c r="Y35" s="2">
        <v>6</v>
      </c>
      <c r="Z35" s="2">
        <v>2</v>
      </c>
      <c r="AA35" s="2">
        <v>20</v>
      </c>
      <c r="AB35" s="2">
        <v>5</v>
      </c>
      <c r="AC35" s="11">
        <f t="shared" si="0"/>
        <v>1.0550738354090168</v>
      </c>
    </row>
    <row r="36" spans="1:29" ht="17">
      <c r="A36" s="2" t="s">
        <v>115</v>
      </c>
      <c r="B36" s="2">
        <v>867.3</v>
      </c>
      <c r="C36" s="2" t="s">
        <v>117</v>
      </c>
      <c r="D36" s="2">
        <v>101.7</v>
      </c>
      <c r="E36" s="2" t="s">
        <v>32</v>
      </c>
      <c r="F36" s="2">
        <v>15.7</v>
      </c>
      <c r="G36" s="2">
        <v>6.4777070063694273</v>
      </c>
      <c r="H36" s="2">
        <v>-27.199000000000002</v>
      </c>
      <c r="I36" s="2" t="s">
        <v>157</v>
      </c>
      <c r="J36" s="2">
        <v>72</v>
      </c>
      <c r="K36" s="3">
        <v>35.933</v>
      </c>
      <c r="L36" s="2">
        <v>2.0037291626081877</v>
      </c>
      <c r="M36" s="2">
        <v>245.92968800000003</v>
      </c>
      <c r="N36" s="2">
        <v>129.30007800000001</v>
      </c>
      <c r="O36" s="2">
        <v>116.629651</v>
      </c>
      <c r="P36" s="2">
        <v>271.65998100000002</v>
      </c>
      <c r="Q36" s="2">
        <v>121.86641</v>
      </c>
      <c r="R36" s="2">
        <v>149.79363000000001</v>
      </c>
      <c r="S36" s="2">
        <v>0.90528493411033562</v>
      </c>
      <c r="T36" s="2">
        <v>3</v>
      </c>
      <c r="U36" s="2">
        <v>1</v>
      </c>
      <c r="V36" s="2">
        <v>0</v>
      </c>
      <c r="W36" s="2">
        <v>4</v>
      </c>
      <c r="X36" s="2">
        <v>6</v>
      </c>
      <c r="Y36" s="2">
        <v>7</v>
      </c>
      <c r="Z36" s="2">
        <v>3</v>
      </c>
      <c r="AA36" s="2">
        <v>16</v>
      </c>
      <c r="AB36" s="2">
        <v>4</v>
      </c>
      <c r="AC36" s="11">
        <f t="shared" si="0"/>
        <v>1.4052849341103357</v>
      </c>
    </row>
    <row r="37" spans="1:29" ht="17">
      <c r="A37" s="2" t="s">
        <v>115</v>
      </c>
      <c r="B37" s="2">
        <v>867.3</v>
      </c>
      <c r="C37" s="2" t="s">
        <v>118</v>
      </c>
      <c r="D37" s="2">
        <v>19.100000000000001</v>
      </c>
      <c r="E37" s="2" t="s">
        <v>33</v>
      </c>
      <c r="F37" s="2">
        <v>22.6</v>
      </c>
      <c r="G37" s="2">
        <v>0.84513274336283184</v>
      </c>
      <c r="H37" s="2">
        <v>71.206999999999994</v>
      </c>
      <c r="I37" s="2" t="s">
        <v>157</v>
      </c>
      <c r="J37" s="2">
        <v>72</v>
      </c>
      <c r="K37" s="3">
        <v>80.168000000000006</v>
      </c>
      <c r="L37" s="2">
        <v>0.89811396068256655</v>
      </c>
      <c r="M37" s="2">
        <v>245.92968800000003</v>
      </c>
      <c r="N37" s="2">
        <v>129.30007800000001</v>
      </c>
      <c r="O37" s="2">
        <v>116.629651</v>
      </c>
      <c r="P37" s="2">
        <v>313.33782000000002</v>
      </c>
      <c r="Q37" s="2">
        <v>153.24117900000005</v>
      </c>
      <c r="R37" s="2">
        <v>160.0966</v>
      </c>
      <c r="S37" s="2">
        <v>0.78487074429764014</v>
      </c>
      <c r="T37" s="2">
        <v>3</v>
      </c>
      <c r="U37" s="2">
        <v>1</v>
      </c>
      <c r="V37" s="2">
        <v>0</v>
      </c>
      <c r="W37" s="2">
        <v>4</v>
      </c>
      <c r="X37" s="2">
        <v>5</v>
      </c>
      <c r="Y37" s="2">
        <v>1</v>
      </c>
      <c r="Z37" s="2">
        <v>0</v>
      </c>
      <c r="AA37" s="2">
        <v>6</v>
      </c>
      <c r="AB37" s="2">
        <v>1.5</v>
      </c>
      <c r="AC37" s="11">
        <f t="shared" si="0"/>
        <v>2.1829847049802069</v>
      </c>
    </row>
    <row r="38" spans="1:29" ht="17">
      <c r="A38" s="2" t="s">
        <v>116</v>
      </c>
      <c r="B38" s="2">
        <v>209.8</v>
      </c>
      <c r="C38" s="2" t="s">
        <v>117</v>
      </c>
      <c r="D38" s="2">
        <v>101.7</v>
      </c>
      <c r="E38" s="2" t="s">
        <v>34</v>
      </c>
      <c r="F38" s="2">
        <v>11.7</v>
      </c>
      <c r="G38" s="2">
        <v>8.6923076923076934</v>
      </c>
      <c r="H38" s="2">
        <v>-20.690999999999999</v>
      </c>
      <c r="I38" s="2" t="s">
        <v>157</v>
      </c>
      <c r="J38" s="2">
        <v>72</v>
      </c>
      <c r="K38" s="3">
        <v>41.962000000000003</v>
      </c>
      <c r="L38" s="2">
        <v>1.7158381392688622</v>
      </c>
      <c r="M38" s="2">
        <v>443.05761199999995</v>
      </c>
      <c r="N38" s="2">
        <v>273.54349500000006</v>
      </c>
      <c r="O38" s="2">
        <v>169.51407600000005</v>
      </c>
      <c r="P38" s="2">
        <v>271.65998100000002</v>
      </c>
      <c r="Q38" s="2">
        <v>121.86641</v>
      </c>
      <c r="R38" s="2">
        <v>149.79363000000001</v>
      </c>
      <c r="S38" s="2">
        <v>1.6309270521520058</v>
      </c>
      <c r="T38" s="2">
        <v>12</v>
      </c>
      <c r="U38" s="2">
        <v>6</v>
      </c>
      <c r="V38" s="2">
        <v>2</v>
      </c>
      <c r="W38" s="2">
        <v>20</v>
      </c>
      <c r="X38" s="2">
        <v>6</v>
      </c>
      <c r="Y38" s="2">
        <v>7</v>
      </c>
      <c r="Z38" s="2">
        <v>3</v>
      </c>
      <c r="AA38" s="2">
        <v>16</v>
      </c>
      <c r="AB38" s="2">
        <v>0.8</v>
      </c>
      <c r="AC38" s="11">
        <f t="shared" si="0"/>
        <v>1.5841618607311378</v>
      </c>
    </row>
    <row r="39" spans="1:29" ht="17">
      <c r="A39" s="2" t="s">
        <v>116</v>
      </c>
      <c r="B39" s="2">
        <v>209.8</v>
      </c>
      <c r="C39" s="2" t="s">
        <v>118</v>
      </c>
      <c r="D39" s="2">
        <v>19.100000000000001</v>
      </c>
      <c r="E39" s="2" t="s">
        <v>35</v>
      </c>
      <c r="F39" s="2">
        <v>10.8</v>
      </c>
      <c r="G39" s="2">
        <v>1.7685185185185186</v>
      </c>
      <c r="H39" s="2">
        <v>53.537999999999997</v>
      </c>
      <c r="I39" s="2" t="s">
        <v>157</v>
      </c>
      <c r="J39" s="2">
        <v>72</v>
      </c>
      <c r="K39" s="3">
        <v>59.643999999999998</v>
      </c>
      <c r="L39" s="2">
        <v>1.2071624974850781</v>
      </c>
      <c r="M39" s="2">
        <v>443.05761199999995</v>
      </c>
      <c r="N39" s="2">
        <v>273.54349500000006</v>
      </c>
      <c r="O39" s="2">
        <v>169.51407600000005</v>
      </c>
      <c r="P39" s="2">
        <v>313.33782000000002</v>
      </c>
      <c r="Q39" s="2">
        <v>153.24117900000005</v>
      </c>
      <c r="R39" s="2">
        <v>160.0966</v>
      </c>
      <c r="S39" s="2">
        <v>1.4139934081369427</v>
      </c>
      <c r="T39" s="2">
        <v>12</v>
      </c>
      <c r="U39" s="2">
        <v>6</v>
      </c>
      <c r="V39" s="2">
        <v>2</v>
      </c>
      <c r="W39" s="2">
        <v>20</v>
      </c>
      <c r="X39" s="2">
        <v>5</v>
      </c>
      <c r="Y39" s="2">
        <v>1</v>
      </c>
      <c r="Z39" s="2">
        <v>0</v>
      </c>
      <c r="AA39" s="2">
        <v>6</v>
      </c>
      <c r="AB39" s="2">
        <v>0.3</v>
      </c>
      <c r="AC39" s="11">
        <f t="shared" si="0"/>
        <v>1.8788440943779792</v>
      </c>
    </row>
    <row r="40" spans="1:29" ht="17">
      <c r="A40" s="4" t="s">
        <v>126</v>
      </c>
      <c r="B40" s="2">
        <v>37.300000000000004</v>
      </c>
      <c r="C40" s="4" t="s">
        <v>127</v>
      </c>
      <c r="D40" s="2">
        <v>113</v>
      </c>
      <c r="E40" s="2" t="s">
        <v>36</v>
      </c>
      <c r="F40" s="2">
        <v>47.7</v>
      </c>
      <c r="G40" s="2">
        <v>0.78197064989517828</v>
      </c>
      <c r="H40" s="2">
        <v>7.7050000000000001</v>
      </c>
      <c r="I40" s="2" t="s">
        <v>158</v>
      </c>
      <c r="J40" s="2">
        <v>90</v>
      </c>
      <c r="K40" s="3">
        <v>53.604999999999997</v>
      </c>
      <c r="L40" s="2">
        <v>1.6789478593414795</v>
      </c>
      <c r="M40" s="2">
        <v>284.39760000000001</v>
      </c>
      <c r="N40" s="2">
        <v>196.31685900000002</v>
      </c>
      <c r="O40" s="2">
        <v>88.080750000000009</v>
      </c>
      <c r="P40" s="2">
        <v>326.98653399999995</v>
      </c>
      <c r="Q40" s="2">
        <v>186.83260499999997</v>
      </c>
      <c r="R40" s="2">
        <v>140.15379000000001</v>
      </c>
      <c r="S40" s="2">
        <v>0.86975324800378495</v>
      </c>
      <c r="T40" s="2">
        <v>9</v>
      </c>
      <c r="U40" s="2">
        <v>1</v>
      </c>
      <c r="V40" s="2">
        <v>0</v>
      </c>
      <c r="W40" s="2">
        <v>10</v>
      </c>
      <c r="X40" s="2">
        <v>4</v>
      </c>
      <c r="Y40" s="2">
        <v>2</v>
      </c>
      <c r="Z40" s="2">
        <v>1</v>
      </c>
      <c r="AA40" s="2">
        <v>7</v>
      </c>
      <c r="AB40" s="2">
        <v>1.4285714285714286</v>
      </c>
      <c r="AC40" s="11">
        <f t="shared" si="0"/>
        <v>1.762233960090877</v>
      </c>
    </row>
    <row r="41" spans="1:29" ht="17">
      <c r="A41" s="4" t="s">
        <v>126</v>
      </c>
      <c r="B41" s="2">
        <v>37.300000000000004</v>
      </c>
      <c r="C41" s="4" t="s">
        <v>128</v>
      </c>
      <c r="D41" s="2">
        <v>48.6</v>
      </c>
      <c r="E41" s="2" t="s">
        <v>37</v>
      </c>
      <c r="F41" s="2">
        <v>56.599999999999994</v>
      </c>
      <c r="G41" s="2">
        <v>0.65901060070671391</v>
      </c>
      <c r="H41" s="2">
        <v>5.0250000000000004</v>
      </c>
      <c r="I41" s="2" t="s">
        <v>158</v>
      </c>
      <c r="J41" s="2">
        <v>90</v>
      </c>
      <c r="K41" s="3">
        <v>52.924999999999997</v>
      </c>
      <c r="L41" s="2">
        <v>1.7005196032120926</v>
      </c>
      <c r="M41" s="2">
        <v>284.39760000000001</v>
      </c>
      <c r="N41" s="2">
        <v>196.31685900000002</v>
      </c>
      <c r="O41" s="2">
        <v>88.080750000000009</v>
      </c>
      <c r="P41" s="2">
        <v>263.52982700000001</v>
      </c>
      <c r="Q41" s="2">
        <v>113.404679</v>
      </c>
      <c r="R41" s="2">
        <v>150.12524500000001</v>
      </c>
      <c r="S41" s="2">
        <v>1.0791856209885495</v>
      </c>
      <c r="T41" s="2">
        <v>9</v>
      </c>
      <c r="U41" s="2">
        <v>1</v>
      </c>
      <c r="V41" s="2">
        <v>0</v>
      </c>
      <c r="W41" s="2">
        <v>10</v>
      </c>
      <c r="X41" s="2">
        <v>1</v>
      </c>
      <c r="Y41" s="2">
        <v>6</v>
      </c>
      <c r="Z41" s="2">
        <v>1</v>
      </c>
      <c r="AA41" s="2">
        <v>8</v>
      </c>
      <c r="AB41" s="2">
        <v>1.25</v>
      </c>
      <c r="AC41" s="11">
        <f t="shared" si="0"/>
        <v>1.9702947757993579</v>
      </c>
    </row>
    <row r="42" spans="1:29" ht="17">
      <c r="A42" s="4" t="s">
        <v>129</v>
      </c>
      <c r="B42" s="2">
        <v>37.300000000000004</v>
      </c>
      <c r="C42" s="4" t="s">
        <v>130</v>
      </c>
      <c r="D42" s="2">
        <v>1480</v>
      </c>
      <c r="E42" s="2" t="s">
        <v>38</v>
      </c>
      <c r="F42" s="2">
        <v>20</v>
      </c>
      <c r="G42" s="2">
        <v>1.8650000000000002</v>
      </c>
      <c r="H42" s="2">
        <v>6.9109999999999996</v>
      </c>
      <c r="I42" s="2" t="s">
        <v>158</v>
      </c>
      <c r="J42" s="2">
        <v>90</v>
      </c>
      <c r="K42" s="3">
        <v>44.789000000000001</v>
      </c>
      <c r="L42" s="2">
        <v>2.0094219562839091</v>
      </c>
      <c r="M42" s="2">
        <v>284.39760000000001</v>
      </c>
      <c r="N42" s="2">
        <v>196.31685900000002</v>
      </c>
      <c r="O42" s="2">
        <v>88.080750000000009</v>
      </c>
      <c r="P42" s="2">
        <v>110.80412099999999</v>
      </c>
      <c r="Q42" s="2">
        <v>91.13821999999999</v>
      </c>
      <c r="R42" s="2">
        <v>19.665854</v>
      </c>
      <c r="S42" s="2">
        <v>2.5666698804460535</v>
      </c>
      <c r="T42" s="2">
        <v>9</v>
      </c>
      <c r="U42" s="2">
        <v>1</v>
      </c>
      <c r="V42" s="2">
        <v>0</v>
      </c>
      <c r="W42" s="2">
        <v>10</v>
      </c>
      <c r="X42" s="2">
        <v>3</v>
      </c>
      <c r="Y42" s="2">
        <v>0</v>
      </c>
      <c r="Z42" s="2">
        <v>0</v>
      </c>
      <c r="AA42" s="2">
        <v>3</v>
      </c>
      <c r="AB42" s="2">
        <v>3.3333333333333335</v>
      </c>
      <c r="AC42" s="11">
        <f t="shared" si="0"/>
        <v>1</v>
      </c>
    </row>
    <row r="43" spans="1:29" ht="17">
      <c r="A43" s="4" t="s">
        <v>131</v>
      </c>
      <c r="B43" s="2">
        <v>113</v>
      </c>
      <c r="C43" s="4" t="s">
        <v>132</v>
      </c>
      <c r="D43" s="2">
        <v>52.4</v>
      </c>
      <c r="E43" s="2" t="s">
        <v>39</v>
      </c>
      <c r="F43" s="2">
        <v>32.199999999999996</v>
      </c>
      <c r="G43" s="2">
        <v>1.627329192546584</v>
      </c>
      <c r="H43" s="2">
        <v>2.2389999999999999</v>
      </c>
      <c r="I43" s="2" t="s">
        <v>158</v>
      </c>
      <c r="J43" s="2">
        <v>90</v>
      </c>
      <c r="K43" s="3">
        <v>30.295999999999999</v>
      </c>
      <c r="L43" s="2">
        <v>2.9706891998943754</v>
      </c>
      <c r="M43" s="2">
        <v>326.98653399999995</v>
      </c>
      <c r="N43" s="2">
        <v>186.83260499999997</v>
      </c>
      <c r="O43" s="2">
        <v>140.15379000000001</v>
      </c>
      <c r="P43" s="2">
        <v>321.742636</v>
      </c>
      <c r="Q43" s="2">
        <v>166.35480000000001</v>
      </c>
      <c r="R43" s="2">
        <v>155.38779900000003</v>
      </c>
      <c r="S43" s="2">
        <v>1.0162984243095463</v>
      </c>
      <c r="T43" s="2">
        <v>4</v>
      </c>
      <c r="U43" s="2">
        <v>2</v>
      </c>
      <c r="V43" s="2">
        <v>1</v>
      </c>
      <c r="W43" s="2">
        <v>7</v>
      </c>
      <c r="X43" s="2">
        <v>5</v>
      </c>
      <c r="Y43" s="2">
        <v>9</v>
      </c>
      <c r="Z43" s="2">
        <v>0</v>
      </c>
      <c r="AA43" s="2">
        <v>14</v>
      </c>
      <c r="AB43" s="2">
        <v>0.5</v>
      </c>
      <c r="AC43" s="11">
        <f t="shared" si="0"/>
        <v>1.4837015756904537</v>
      </c>
    </row>
    <row r="44" spans="1:29" ht="17">
      <c r="A44" s="4" t="s">
        <v>131</v>
      </c>
      <c r="B44" s="2">
        <v>113</v>
      </c>
      <c r="C44" s="4" t="s">
        <v>133</v>
      </c>
      <c r="D44" s="2">
        <v>462</v>
      </c>
      <c r="E44" s="2" t="s">
        <v>40</v>
      </c>
      <c r="F44" s="2">
        <v>42.1</v>
      </c>
      <c r="G44" s="2">
        <v>2.6840855106888362</v>
      </c>
      <c r="H44" s="2">
        <v>4.0490000000000004</v>
      </c>
      <c r="I44" s="2" t="s">
        <v>158</v>
      </c>
      <c r="J44" s="2">
        <v>90</v>
      </c>
      <c r="K44" s="3">
        <v>43.642000000000003</v>
      </c>
      <c r="L44" s="2">
        <v>2.0622336281563629</v>
      </c>
      <c r="M44" s="2">
        <v>326.98653399999995</v>
      </c>
      <c r="N44" s="2">
        <v>186.83260499999997</v>
      </c>
      <c r="O44" s="2">
        <v>140.15379000000001</v>
      </c>
      <c r="P44" s="2">
        <v>307.24645099999998</v>
      </c>
      <c r="Q44" s="2">
        <v>175.95613999999998</v>
      </c>
      <c r="R44" s="2">
        <v>131.290188</v>
      </c>
      <c r="S44" s="2">
        <v>1.0642483678355001</v>
      </c>
      <c r="T44" s="2">
        <v>4</v>
      </c>
      <c r="U44" s="2">
        <v>2</v>
      </c>
      <c r="V44" s="2">
        <v>1</v>
      </c>
      <c r="W44" s="2">
        <v>7</v>
      </c>
      <c r="X44" s="2">
        <v>4</v>
      </c>
      <c r="Y44" s="2">
        <v>7</v>
      </c>
      <c r="Z44" s="2">
        <v>2</v>
      </c>
      <c r="AA44" s="2">
        <v>13</v>
      </c>
      <c r="AB44" s="2">
        <v>0.53846153846153844</v>
      </c>
      <c r="AC44" s="11">
        <f t="shared" si="0"/>
        <v>1.4742131706260384</v>
      </c>
    </row>
    <row r="45" spans="1:29" ht="17">
      <c r="A45" s="4" t="s">
        <v>131</v>
      </c>
      <c r="B45" s="2">
        <v>113</v>
      </c>
      <c r="C45" s="4" t="s">
        <v>134</v>
      </c>
      <c r="D45" s="2">
        <v>114</v>
      </c>
      <c r="E45" s="2" t="s">
        <v>41</v>
      </c>
      <c r="F45" s="2">
        <v>115</v>
      </c>
      <c r="G45" s="2">
        <v>0.9826086956521739</v>
      </c>
      <c r="H45" s="2">
        <v>11.583</v>
      </c>
      <c r="I45" s="2" t="s">
        <v>158</v>
      </c>
      <c r="J45" s="2">
        <v>90</v>
      </c>
      <c r="K45" s="3">
        <v>15.207000000000001</v>
      </c>
      <c r="L45" s="2">
        <v>5.9183270862102972</v>
      </c>
      <c r="M45" s="2">
        <v>326.98653399999995</v>
      </c>
      <c r="N45" s="2">
        <v>186.83260499999997</v>
      </c>
      <c r="O45" s="2">
        <v>140.15379000000001</v>
      </c>
      <c r="P45" s="2">
        <v>321.49026300000003</v>
      </c>
      <c r="Q45" s="2">
        <v>171.64188399999998</v>
      </c>
      <c r="R45" s="2">
        <v>149.84830299999999</v>
      </c>
      <c r="S45" s="2">
        <v>1.0170962285100371</v>
      </c>
      <c r="T45" s="2">
        <v>4</v>
      </c>
      <c r="U45" s="2">
        <v>2</v>
      </c>
      <c r="V45" s="2">
        <v>1</v>
      </c>
      <c r="W45" s="2">
        <v>7</v>
      </c>
      <c r="X45" s="2">
        <v>4</v>
      </c>
      <c r="Y45" s="2">
        <v>5</v>
      </c>
      <c r="Z45" s="2">
        <v>2</v>
      </c>
      <c r="AA45" s="2">
        <v>11</v>
      </c>
      <c r="AB45" s="2">
        <v>0.63636363636363635</v>
      </c>
      <c r="AC45" s="11">
        <f t="shared" si="0"/>
        <v>1.6192674078535991</v>
      </c>
    </row>
    <row r="46" spans="1:29" ht="17">
      <c r="A46" s="4" t="s">
        <v>131</v>
      </c>
      <c r="B46" s="4">
        <v>113</v>
      </c>
      <c r="C46" s="4" t="s">
        <v>135</v>
      </c>
      <c r="D46" s="4">
        <v>78.5</v>
      </c>
      <c r="E46" s="4" t="s">
        <v>42</v>
      </c>
      <c r="F46" s="4">
        <v>165</v>
      </c>
      <c r="G46" s="2">
        <v>0.47575757575757577</v>
      </c>
      <c r="H46" s="2">
        <v>21.332000000000001</v>
      </c>
      <c r="I46" s="2" t="s">
        <v>158</v>
      </c>
      <c r="J46" s="2">
        <v>90</v>
      </c>
      <c r="K46" s="3">
        <v>47.981000000000002</v>
      </c>
      <c r="L46" s="2">
        <v>1.875742481398887</v>
      </c>
      <c r="M46" s="2">
        <v>326.98653399999995</v>
      </c>
      <c r="N46" s="2">
        <v>186.83260499999997</v>
      </c>
      <c r="O46" s="2">
        <v>140.15379000000001</v>
      </c>
      <c r="P46" s="2">
        <v>343.01589000000001</v>
      </c>
      <c r="Q46" s="2">
        <v>187.35122699999999</v>
      </c>
      <c r="R46" s="2">
        <v>155.66504900000001</v>
      </c>
      <c r="S46" s="2">
        <v>0.95326934854242451</v>
      </c>
      <c r="T46" s="2">
        <v>4</v>
      </c>
      <c r="U46" s="2">
        <v>2</v>
      </c>
      <c r="V46" s="2">
        <v>1</v>
      </c>
      <c r="W46" s="2">
        <v>7</v>
      </c>
      <c r="X46" s="2">
        <v>8</v>
      </c>
      <c r="Y46" s="2">
        <v>5</v>
      </c>
      <c r="Z46" s="2">
        <v>0</v>
      </c>
      <c r="AA46" s="2">
        <v>13</v>
      </c>
      <c r="AB46" s="2">
        <v>0.53846153846153844</v>
      </c>
      <c r="AC46" s="11">
        <f t="shared" si="0"/>
        <v>1.615988405605076</v>
      </c>
    </row>
    <row r="47" spans="1:29" ht="17">
      <c r="A47" s="4" t="s">
        <v>131</v>
      </c>
      <c r="B47" s="2">
        <v>113</v>
      </c>
      <c r="C47" s="4" t="s">
        <v>130</v>
      </c>
      <c r="D47" s="2">
        <v>1480</v>
      </c>
      <c r="E47" s="2" t="s">
        <v>43</v>
      </c>
      <c r="F47" s="2">
        <v>51.3</v>
      </c>
      <c r="G47" s="2">
        <v>2.202729044834308</v>
      </c>
      <c r="H47" s="2">
        <v>7.1079999999999997</v>
      </c>
      <c r="I47" s="2" t="s">
        <v>158</v>
      </c>
      <c r="J47" s="2">
        <v>90</v>
      </c>
      <c r="K47" s="3">
        <v>51.982999999999997</v>
      </c>
      <c r="L47" s="2">
        <v>1.7313352442144547</v>
      </c>
      <c r="M47" s="2">
        <v>326.98653399999995</v>
      </c>
      <c r="N47" s="2">
        <v>186.83260499999997</v>
      </c>
      <c r="O47" s="2">
        <v>140.15379000000001</v>
      </c>
      <c r="P47" s="2">
        <v>110.80412099999999</v>
      </c>
      <c r="Q47" s="2">
        <v>91.13821999999999</v>
      </c>
      <c r="R47" s="2">
        <v>19.665854</v>
      </c>
      <c r="S47" s="2">
        <v>2.9510322454523146</v>
      </c>
      <c r="T47" s="2">
        <v>4</v>
      </c>
      <c r="U47" s="2">
        <v>2</v>
      </c>
      <c r="V47" s="2">
        <v>1</v>
      </c>
      <c r="W47" s="2">
        <v>7</v>
      </c>
      <c r="X47" s="2">
        <v>3</v>
      </c>
      <c r="Y47" s="2">
        <v>0</v>
      </c>
      <c r="Z47" s="2">
        <v>0</v>
      </c>
      <c r="AA47" s="2">
        <v>3</v>
      </c>
      <c r="AB47" s="2">
        <v>2.3333333333333335</v>
      </c>
      <c r="AC47" s="11">
        <f t="shared" si="0"/>
        <v>1.2686647557855453</v>
      </c>
    </row>
    <row r="48" spans="1:29" ht="17">
      <c r="A48" s="4" t="s">
        <v>131</v>
      </c>
      <c r="B48" s="2">
        <v>113</v>
      </c>
      <c r="C48" s="4" t="s">
        <v>136</v>
      </c>
      <c r="D48" s="2">
        <v>3000</v>
      </c>
      <c r="E48" s="2" t="s">
        <v>44</v>
      </c>
      <c r="F48" s="2">
        <v>80.599999999999994</v>
      </c>
      <c r="G48" s="2">
        <v>1.401985111662531</v>
      </c>
      <c r="H48" s="2">
        <v>6.3029999999999999</v>
      </c>
      <c r="I48" s="2" t="s">
        <v>158</v>
      </c>
      <c r="J48" s="2">
        <v>90</v>
      </c>
      <c r="K48" s="3">
        <v>48.039000000000001</v>
      </c>
      <c r="L48" s="2">
        <v>1.8734777992880784</v>
      </c>
      <c r="M48" s="2">
        <v>326.98653399999995</v>
      </c>
      <c r="N48" s="2">
        <v>186.83260499999997</v>
      </c>
      <c r="O48" s="2">
        <v>140.15379000000001</v>
      </c>
      <c r="P48" s="2">
        <v>258.476448</v>
      </c>
      <c r="Q48" s="2">
        <v>157.37730500000006</v>
      </c>
      <c r="R48" s="2">
        <v>101.099051</v>
      </c>
      <c r="S48" s="2">
        <v>1.2650534953188459</v>
      </c>
      <c r="T48" s="2">
        <v>4</v>
      </c>
      <c r="U48" s="2">
        <v>2</v>
      </c>
      <c r="V48" s="2">
        <v>1</v>
      </c>
      <c r="W48" s="2">
        <v>7</v>
      </c>
      <c r="X48" s="2">
        <v>4</v>
      </c>
      <c r="Y48" s="2">
        <v>4</v>
      </c>
      <c r="Z48" s="2">
        <v>1</v>
      </c>
      <c r="AA48" s="2">
        <v>9</v>
      </c>
      <c r="AB48" s="2">
        <v>0.77777777777777779</v>
      </c>
      <c r="AC48" s="11">
        <f t="shared" si="0"/>
        <v>1.6392464831708535</v>
      </c>
    </row>
    <row r="49" spans="1:29" ht="17">
      <c r="A49" s="4" t="s">
        <v>132</v>
      </c>
      <c r="B49" s="2">
        <v>52.4</v>
      </c>
      <c r="C49" s="4" t="s">
        <v>137</v>
      </c>
      <c r="D49" s="2">
        <v>35.1</v>
      </c>
      <c r="E49" s="2" t="s">
        <v>45</v>
      </c>
      <c r="F49" s="2">
        <v>59.2</v>
      </c>
      <c r="G49" s="2">
        <v>0.59290540540540537</v>
      </c>
      <c r="H49" s="2">
        <v>13.598000000000001</v>
      </c>
      <c r="I49" s="2" t="s">
        <v>158</v>
      </c>
      <c r="J49" s="2">
        <v>90</v>
      </c>
      <c r="K49" s="3">
        <v>73.688999999999993</v>
      </c>
      <c r="L49" s="2">
        <v>1.221349183731629</v>
      </c>
      <c r="M49" s="2">
        <v>321.742636</v>
      </c>
      <c r="N49" s="2">
        <v>166.35480000000001</v>
      </c>
      <c r="O49" s="2">
        <v>155.38779900000003</v>
      </c>
      <c r="P49" s="2">
        <v>221.50471499999998</v>
      </c>
      <c r="Q49" s="2">
        <v>118.743904</v>
      </c>
      <c r="R49" s="2">
        <v>102.760969</v>
      </c>
      <c r="S49" s="2">
        <v>1.4525317711634267</v>
      </c>
      <c r="T49" s="2">
        <v>5</v>
      </c>
      <c r="U49" s="2">
        <v>9</v>
      </c>
      <c r="V49" s="2">
        <v>0</v>
      </c>
      <c r="W49" s="2">
        <v>14</v>
      </c>
      <c r="X49" s="2">
        <v>3</v>
      </c>
      <c r="Y49" s="2">
        <v>6</v>
      </c>
      <c r="Z49" s="2">
        <v>3</v>
      </c>
      <c r="AA49" s="2">
        <v>12</v>
      </c>
      <c r="AB49" s="2">
        <v>1.1666666666666667</v>
      </c>
      <c r="AC49" s="11">
        <f t="shared" si="0"/>
        <v>2.1594523784382775</v>
      </c>
    </row>
    <row r="50" spans="1:29" ht="17">
      <c r="A50" s="4" t="s">
        <v>133</v>
      </c>
      <c r="B50" s="2">
        <v>462</v>
      </c>
      <c r="C50" s="4" t="s">
        <v>137</v>
      </c>
      <c r="D50" s="2">
        <v>35.1</v>
      </c>
      <c r="E50" s="2" t="s">
        <v>46</v>
      </c>
      <c r="F50" s="2">
        <v>67.2</v>
      </c>
      <c r="G50" s="2">
        <v>0.5223214285714286</v>
      </c>
      <c r="H50" s="2">
        <v>-28.074000000000002</v>
      </c>
      <c r="I50" s="2" t="s">
        <v>158</v>
      </c>
      <c r="J50" s="2">
        <v>90</v>
      </c>
      <c r="K50" s="3">
        <v>33.42</v>
      </c>
      <c r="L50" s="2">
        <v>2.6929982046678633</v>
      </c>
      <c r="M50" s="2">
        <v>307.24645099999998</v>
      </c>
      <c r="N50" s="2">
        <v>175.95613999999998</v>
      </c>
      <c r="O50" s="2">
        <v>131.290188</v>
      </c>
      <c r="P50" s="2">
        <v>221.50471499999998</v>
      </c>
      <c r="Q50" s="2">
        <v>118.743904</v>
      </c>
      <c r="R50" s="2">
        <v>102.760969</v>
      </c>
      <c r="S50" s="2">
        <v>1.3870876337779086</v>
      </c>
      <c r="T50" s="2">
        <v>4</v>
      </c>
      <c r="U50" s="2">
        <v>7</v>
      </c>
      <c r="V50" s="2">
        <v>2</v>
      </c>
      <c r="W50" s="2">
        <v>13</v>
      </c>
      <c r="X50" s="2">
        <v>3</v>
      </c>
      <c r="Y50" s="2">
        <v>6</v>
      </c>
      <c r="Z50" s="2">
        <v>3</v>
      </c>
      <c r="AA50" s="2">
        <v>12</v>
      </c>
      <c r="AB50" s="2">
        <v>1.0833333333333333</v>
      </c>
      <c r="AC50" s="11">
        <f t="shared" si="0"/>
        <v>1.5295790328887582</v>
      </c>
    </row>
    <row r="51" spans="1:29" ht="17">
      <c r="A51" s="2" t="s">
        <v>133</v>
      </c>
      <c r="B51" s="2">
        <v>462</v>
      </c>
      <c r="C51" s="2" t="s">
        <v>138</v>
      </c>
      <c r="D51" s="2">
        <v>1180</v>
      </c>
      <c r="E51" s="2" t="s">
        <v>47</v>
      </c>
      <c r="F51" s="2">
        <v>99.9</v>
      </c>
      <c r="G51" s="2">
        <v>4.6246246246246248</v>
      </c>
      <c r="H51" s="2">
        <v>-5.2720000000000002</v>
      </c>
      <c r="I51" s="2" t="s">
        <v>158</v>
      </c>
      <c r="J51" s="2">
        <v>90</v>
      </c>
      <c r="K51" s="3">
        <v>56.098999999999997</v>
      </c>
      <c r="L51" s="2">
        <v>1.6043066721331931</v>
      </c>
      <c r="M51" s="2">
        <v>307.24645099999998</v>
      </c>
      <c r="N51" s="2">
        <v>175.95613999999998</v>
      </c>
      <c r="O51" s="2">
        <v>131.290188</v>
      </c>
      <c r="P51" s="2">
        <v>307.27678800000001</v>
      </c>
      <c r="Q51" s="2">
        <v>171.27784100000002</v>
      </c>
      <c r="R51" s="2">
        <v>135.99903099999997</v>
      </c>
      <c r="S51" s="2">
        <v>0.99990127142307916</v>
      </c>
      <c r="T51" s="2">
        <v>4</v>
      </c>
      <c r="U51" s="2">
        <v>7</v>
      </c>
      <c r="V51" s="2">
        <v>2</v>
      </c>
      <c r="W51" s="2">
        <v>13</v>
      </c>
      <c r="X51" s="2">
        <v>7</v>
      </c>
      <c r="Y51" s="2">
        <v>6</v>
      </c>
      <c r="Z51" s="2">
        <v>0</v>
      </c>
      <c r="AA51" s="2">
        <v>13</v>
      </c>
      <c r="AB51" s="2">
        <v>1</v>
      </c>
      <c r="AC51" s="11">
        <f t="shared" ref="AC51:AC99" si="2">(1-MIN(ABS(L51-1),1))+(1-MIN(ABS(S51-1),0.5))+(1-MIN(ABS(AB51-1),0.5))</f>
        <v>2.3955945992898862</v>
      </c>
    </row>
    <row r="52" spans="1:29" ht="17">
      <c r="A52" s="4" t="s">
        <v>133</v>
      </c>
      <c r="B52" s="2">
        <v>462</v>
      </c>
      <c r="C52" s="4" t="s">
        <v>136</v>
      </c>
      <c r="D52" s="2">
        <v>3000</v>
      </c>
      <c r="E52" s="2" t="s">
        <v>48</v>
      </c>
      <c r="F52" s="2">
        <v>27.4</v>
      </c>
      <c r="G52" s="2">
        <v>16.861313868613138</v>
      </c>
      <c r="H52" s="2">
        <v>13.241</v>
      </c>
      <c r="I52" s="2" t="s">
        <v>158</v>
      </c>
      <c r="J52" s="2">
        <v>90</v>
      </c>
      <c r="K52" s="3">
        <v>50.314</v>
      </c>
      <c r="L52" s="2">
        <v>1.7887665460905513</v>
      </c>
      <c r="M52" s="2">
        <v>307.24645099999998</v>
      </c>
      <c r="N52" s="2">
        <v>175.95613999999998</v>
      </c>
      <c r="O52" s="2">
        <v>131.290188</v>
      </c>
      <c r="P52" s="2">
        <v>258.476448</v>
      </c>
      <c r="Q52" s="2">
        <v>157.37730500000006</v>
      </c>
      <c r="R52" s="2">
        <v>101.099051</v>
      </c>
      <c r="S52" s="2">
        <v>1.1886825796987119</v>
      </c>
      <c r="T52" s="2">
        <v>4</v>
      </c>
      <c r="U52" s="2">
        <v>7</v>
      </c>
      <c r="V52" s="2">
        <v>2</v>
      </c>
      <c r="W52" s="2">
        <v>13</v>
      </c>
      <c r="X52" s="2">
        <v>4</v>
      </c>
      <c r="Y52" s="2">
        <v>4</v>
      </c>
      <c r="Z52" s="2">
        <v>1</v>
      </c>
      <c r="AA52" s="2">
        <v>9</v>
      </c>
      <c r="AB52" s="2">
        <v>1.4444444444444444</v>
      </c>
      <c r="AC52" s="11">
        <f t="shared" si="2"/>
        <v>1.5781064297662923</v>
      </c>
    </row>
    <row r="53" spans="1:29" ht="17">
      <c r="A53" s="4" t="s">
        <v>137</v>
      </c>
      <c r="B53" s="2">
        <v>35.1</v>
      </c>
      <c r="C53" s="4" t="s">
        <v>131</v>
      </c>
      <c r="D53" s="2">
        <v>113</v>
      </c>
      <c r="E53" s="2" t="s">
        <v>49</v>
      </c>
      <c r="F53" s="2">
        <v>56.3</v>
      </c>
      <c r="G53" s="2">
        <v>0.62344582593250453</v>
      </c>
      <c r="H53" s="2">
        <v>8.77</v>
      </c>
      <c r="I53" s="2" t="s">
        <v>158</v>
      </c>
      <c r="J53" s="2">
        <v>90</v>
      </c>
      <c r="K53" s="3">
        <v>34.212000000000003</v>
      </c>
      <c r="L53" s="2">
        <v>2.6306559102069449</v>
      </c>
      <c r="M53" s="2">
        <v>221.50471499999998</v>
      </c>
      <c r="N53" s="2">
        <v>118.743904</v>
      </c>
      <c r="O53" s="2">
        <v>102.760969</v>
      </c>
      <c r="P53" s="2">
        <v>326.98653399999995</v>
      </c>
      <c r="Q53" s="2">
        <v>186.83260499999997</v>
      </c>
      <c r="R53" s="2">
        <v>140.15379000000001</v>
      </c>
      <c r="S53" s="2">
        <v>0.67741234567170283</v>
      </c>
      <c r="T53" s="2">
        <v>3</v>
      </c>
      <c r="U53" s="2">
        <v>6</v>
      </c>
      <c r="V53" s="2">
        <v>3</v>
      </c>
      <c r="W53" s="2">
        <v>12</v>
      </c>
      <c r="X53" s="2">
        <v>4</v>
      </c>
      <c r="Y53" s="2">
        <v>2</v>
      </c>
      <c r="Z53" s="2">
        <v>1</v>
      </c>
      <c r="AA53" s="2">
        <v>7</v>
      </c>
      <c r="AB53" s="2">
        <v>1.7142857142857142</v>
      </c>
      <c r="AC53" s="11">
        <f t="shared" si="2"/>
        <v>1.1774123456717027</v>
      </c>
    </row>
    <row r="54" spans="1:29" ht="17">
      <c r="A54" s="4" t="s">
        <v>137</v>
      </c>
      <c r="B54" s="2">
        <v>35.1</v>
      </c>
      <c r="C54" s="4" t="s">
        <v>134</v>
      </c>
      <c r="D54" s="2">
        <v>114</v>
      </c>
      <c r="E54" s="2" t="s">
        <v>50</v>
      </c>
      <c r="F54" s="2">
        <v>11.1</v>
      </c>
      <c r="G54" s="2">
        <v>3.1621621621621623</v>
      </c>
      <c r="H54" s="2">
        <v>-2.9529999999999998</v>
      </c>
      <c r="I54" s="2" t="s">
        <v>158</v>
      </c>
      <c r="J54" s="2">
        <v>90</v>
      </c>
      <c r="K54" s="3">
        <v>29.207999999999998</v>
      </c>
      <c r="L54" s="2">
        <v>3.0813475760065736</v>
      </c>
      <c r="M54" s="2">
        <v>221.50471499999998</v>
      </c>
      <c r="N54" s="2">
        <v>118.743904</v>
      </c>
      <c r="O54" s="2">
        <v>102.760969</v>
      </c>
      <c r="P54" s="2">
        <v>321.49026300000003</v>
      </c>
      <c r="Q54" s="2">
        <v>171.64188399999998</v>
      </c>
      <c r="R54" s="2">
        <v>149.84830299999999</v>
      </c>
      <c r="S54" s="2">
        <v>0.68899354192882645</v>
      </c>
      <c r="T54" s="2">
        <v>3</v>
      </c>
      <c r="U54" s="2">
        <v>6</v>
      </c>
      <c r="V54" s="2">
        <v>3</v>
      </c>
      <c r="W54" s="2">
        <v>12</v>
      </c>
      <c r="X54" s="2">
        <v>4</v>
      </c>
      <c r="Y54" s="2">
        <v>5</v>
      </c>
      <c r="Z54" s="2">
        <v>2</v>
      </c>
      <c r="AA54" s="2">
        <v>11</v>
      </c>
      <c r="AB54" s="2">
        <v>1.0909090909090908</v>
      </c>
      <c r="AC54" s="11">
        <f t="shared" si="2"/>
        <v>1.5980844510197356</v>
      </c>
    </row>
    <row r="55" spans="1:29" ht="17">
      <c r="A55" s="4" t="s">
        <v>137</v>
      </c>
      <c r="B55" s="2">
        <v>35.1</v>
      </c>
      <c r="C55" s="4" t="s">
        <v>139</v>
      </c>
      <c r="D55" s="2">
        <v>48.6</v>
      </c>
      <c r="E55" s="2" t="s">
        <v>51</v>
      </c>
      <c r="F55" s="2">
        <v>7.03</v>
      </c>
      <c r="G55" s="2">
        <v>4.9928876244665714</v>
      </c>
      <c r="H55" s="2">
        <v>-2.1920000000000002</v>
      </c>
      <c r="I55" s="2" t="s">
        <v>158</v>
      </c>
      <c r="J55" s="2">
        <v>90</v>
      </c>
      <c r="K55" s="3">
        <v>18.936</v>
      </c>
      <c r="L55" s="2">
        <v>4.752851711026616</v>
      </c>
      <c r="M55" s="2">
        <v>221.50471499999998</v>
      </c>
      <c r="N55" s="2">
        <v>118.743904</v>
      </c>
      <c r="O55" s="2">
        <v>102.760969</v>
      </c>
      <c r="P55" s="2">
        <v>263.52982700000001</v>
      </c>
      <c r="Q55" s="2">
        <v>113.404679</v>
      </c>
      <c r="R55" s="2">
        <v>150.12524500000001</v>
      </c>
      <c r="S55" s="2">
        <v>0.84052996020067194</v>
      </c>
      <c r="T55" s="2">
        <v>3</v>
      </c>
      <c r="U55" s="2">
        <v>6</v>
      </c>
      <c r="V55" s="2">
        <v>3</v>
      </c>
      <c r="W55" s="2">
        <v>12</v>
      </c>
      <c r="X55" s="2">
        <v>1</v>
      </c>
      <c r="Y55" s="2">
        <v>6</v>
      </c>
      <c r="Z55" s="2">
        <v>1</v>
      </c>
      <c r="AA55" s="2">
        <v>8</v>
      </c>
      <c r="AB55" s="2">
        <v>1.5</v>
      </c>
      <c r="AC55" s="11">
        <f t="shared" si="2"/>
        <v>1.3405299602006719</v>
      </c>
    </row>
    <row r="56" spans="1:29" ht="17">
      <c r="A56" s="2" t="s">
        <v>134</v>
      </c>
      <c r="B56" s="5">
        <v>114</v>
      </c>
      <c r="C56" s="2" t="s">
        <v>132</v>
      </c>
      <c r="D56" s="5">
        <v>52.4</v>
      </c>
      <c r="E56" s="2" t="s">
        <v>52</v>
      </c>
      <c r="F56" s="2">
        <v>140</v>
      </c>
      <c r="G56" s="2">
        <v>0.37428571428571428</v>
      </c>
      <c r="H56" s="2">
        <v>9.0120000000000005</v>
      </c>
      <c r="I56" s="2" t="s">
        <v>158</v>
      </c>
      <c r="J56" s="2">
        <v>90</v>
      </c>
      <c r="K56" s="3">
        <v>52.933</v>
      </c>
      <c r="L56" s="2">
        <v>1.7002625961120661</v>
      </c>
      <c r="M56" s="2">
        <v>321.49026300000003</v>
      </c>
      <c r="N56" s="2">
        <v>171.64188399999998</v>
      </c>
      <c r="O56" s="2">
        <v>149.84830299999999</v>
      </c>
      <c r="P56" s="2">
        <v>321.742636</v>
      </c>
      <c r="Q56" s="2">
        <v>166.35480000000001</v>
      </c>
      <c r="R56" s="2">
        <v>155.38779900000003</v>
      </c>
      <c r="S56" s="2">
        <v>0.99921560597893533</v>
      </c>
      <c r="T56" s="2">
        <v>4</v>
      </c>
      <c r="U56" s="2">
        <v>5</v>
      </c>
      <c r="V56" s="2">
        <v>2</v>
      </c>
      <c r="W56" s="2">
        <v>11</v>
      </c>
      <c r="X56" s="2">
        <v>5</v>
      </c>
      <c r="Y56" s="2">
        <v>9</v>
      </c>
      <c r="Z56" s="2">
        <v>0</v>
      </c>
      <c r="AA56" s="2">
        <v>14</v>
      </c>
      <c r="AB56" s="2">
        <v>0.7857142857142857</v>
      </c>
      <c r="AC56" s="11">
        <f t="shared" si="2"/>
        <v>2.0846672955811547</v>
      </c>
    </row>
    <row r="57" spans="1:29" ht="17">
      <c r="A57" s="4" t="s">
        <v>134</v>
      </c>
      <c r="B57" s="2">
        <v>114</v>
      </c>
      <c r="C57" s="4" t="s">
        <v>140</v>
      </c>
      <c r="D57" s="2">
        <v>106</v>
      </c>
      <c r="E57" s="2" t="s">
        <v>53</v>
      </c>
      <c r="F57" s="2">
        <v>54.5</v>
      </c>
      <c r="G57" s="2">
        <v>1.9449541284403671</v>
      </c>
      <c r="H57" s="2">
        <v>11.065</v>
      </c>
      <c r="I57" s="2" t="s">
        <v>158</v>
      </c>
      <c r="J57" s="2">
        <v>90</v>
      </c>
      <c r="K57" s="3">
        <v>39.454000000000001</v>
      </c>
      <c r="L57" s="2">
        <v>2.2811375272469205</v>
      </c>
      <c r="M57" s="2">
        <v>321.49026300000003</v>
      </c>
      <c r="N57" s="2">
        <v>171.64188399999998</v>
      </c>
      <c r="O57" s="2">
        <v>149.84830299999999</v>
      </c>
      <c r="P57" s="2">
        <v>306.06528300000002</v>
      </c>
      <c r="Q57" s="2">
        <v>179.48367700000003</v>
      </c>
      <c r="R57" s="2">
        <v>126.58147000000001</v>
      </c>
      <c r="S57" s="2">
        <v>1.050397679373521</v>
      </c>
      <c r="T57" s="2">
        <v>4</v>
      </c>
      <c r="U57" s="2">
        <v>5</v>
      </c>
      <c r="V57" s="2">
        <v>2</v>
      </c>
      <c r="W57" s="2">
        <v>11</v>
      </c>
      <c r="X57" s="2">
        <v>5</v>
      </c>
      <c r="Y57" s="2">
        <v>8</v>
      </c>
      <c r="Z57" s="2">
        <v>1</v>
      </c>
      <c r="AA57" s="2">
        <v>14</v>
      </c>
      <c r="AB57" s="2">
        <v>0.7857142857142857</v>
      </c>
      <c r="AC57" s="11">
        <f t="shared" si="2"/>
        <v>1.7353166063407648</v>
      </c>
    </row>
    <row r="58" spans="1:29" ht="17">
      <c r="A58" s="4" t="s">
        <v>134</v>
      </c>
      <c r="B58" s="2">
        <v>114</v>
      </c>
      <c r="C58" s="4" t="s">
        <v>138</v>
      </c>
      <c r="D58" s="2">
        <v>1180</v>
      </c>
      <c r="E58" s="2" t="s">
        <v>54</v>
      </c>
      <c r="F58" s="2">
        <v>0.125</v>
      </c>
      <c r="G58" s="2">
        <v>912</v>
      </c>
      <c r="H58" s="2">
        <v>-3.0539999999999998</v>
      </c>
      <c r="I58" s="2" t="s">
        <v>158</v>
      </c>
      <c r="J58" s="2">
        <v>90</v>
      </c>
      <c r="K58" s="3">
        <v>39.755000000000003</v>
      </c>
      <c r="L58" s="2">
        <v>2.2638661803546722</v>
      </c>
      <c r="M58" s="2">
        <v>321.49026300000003</v>
      </c>
      <c r="N58" s="2">
        <v>171.64188399999998</v>
      </c>
      <c r="O58" s="2">
        <v>149.84830299999999</v>
      </c>
      <c r="P58" s="2">
        <v>307.27678800000001</v>
      </c>
      <c r="Q58" s="2">
        <v>171.27784100000002</v>
      </c>
      <c r="R58" s="2">
        <v>135.99903099999997</v>
      </c>
      <c r="S58" s="2">
        <v>1.0462562600075083</v>
      </c>
      <c r="T58" s="2">
        <v>4</v>
      </c>
      <c r="U58" s="2">
        <v>5</v>
      </c>
      <c r="V58" s="2">
        <v>2</v>
      </c>
      <c r="W58" s="2">
        <v>11</v>
      </c>
      <c r="X58" s="2">
        <v>7</v>
      </c>
      <c r="Y58" s="2">
        <v>6</v>
      </c>
      <c r="Z58" s="2">
        <v>0</v>
      </c>
      <c r="AA58" s="2">
        <v>13</v>
      </c>
      <c r="AB58" s="2">
        <v>0.84615384615384615</v>
      </c>
      <c r="AC58" s="11">
        <f t="shared" si="2"/>
        <v>1.7998975861463378</v>
      </c>
    </row>
    <row r="59" spans="1:29" ht="17">
      <c r="A59" s="4" t="s">
        <v>134</v>
      </c>
      <c r="B59" s="2">
        <v>114</v>
      </c>
      <c r="C59" s="4" t="s">
        <v>136</v>
      </c>
      <c r="D59" s="2">
        <v>3000</v>
      </c>
      <c r="E59" s="2" t="s">
        <v>55</v>
      </c>
      <c r="F59" s="2">
        <v>0.253</v>
      </c>
      <c r="G59" s="2">
        <v>450.59288537549406</v>
      </c>
      <c r="H59" s="2">
        <v>12.696</v>
      </c>
      <c r="I59" s="2" t="s">
        <v>158</v>
      </c>
      <c r="J59" s="2">
        <v>90</v>
      </c>
      <c r="K59" s="3">
        <v>45.518999999999998</v>
      </c>
      <c r="L59" s="2">
        <v>1.9771963355961248</v>
      </c>
      <c r="M59" s="2">
        <v>321.49026300000003</v>
      </c>
      <c r="N59" s="2">
        <v>171.64188399999998</v>
      </c>
      <c r="O59" s="2">
        <v>149.84830299999999</v>
      </c>
      <c r="P59" s="2">
        <v>258.476448</v>
      </c>
      <c r="Q59" s="2">
        <v>157.37730500000006</v>
      </c>
      <c r="R59" s="2">
        <v>101.099051</v>
      </c>
      <c r="S59" s="2">
        <v>1.2437893877278909</v>
      </c>
      <c r="T59" s="2">
        <v>4</v>
      </c>
      <c r="U59" s="2">
        <v>5</v>
      </c>
      <c r="V59" s="2">
        <v>2</v>
      </c>
      <c r="W59" s="2">
        <v>11</v>
      </c>
      <c r="X59" s="2">
        <v>4</v>
      </c>
      <c r="Y59" s="2">
        <v>4</v>
      </c>
      <c r="Z59" s="2">
        <v>1</v>
      </c>
      <c r="AA59" s="2">
        <v>9</v>
      </c>
      <c r="AB59" s="2">
        <v>1.2222222222222223</v>
      </c>
      <c r="AC59" s="11">
        <f t="shared" si="2"/>
        <v>1.5567920544537619</v>
      </c>
    </row>
    <row r="60" spans="1:29" ht="17">
      <c r="A60" s="4" t="s">
        <v>139</v>
      </c>
      <c r="B60" s="2">
        <v>48.6</v>
      </c>
      <c r="C60" s="4" t="s">
        <v>138</v>
      </c>
      <c r="D60" s="2">
        <v>1180</v>
      </c>
      <c r="E60" s="2" t="s">
        <v>56</v>
      </c>
      <c r="F60" s="2">
        <v>12.2</v>
      </c>
      <c r="G60" s="2">
        <v>3.9836065573770494</v>
      </c>
      <c r="H60" s="2">
        <v>20.206</v>
      </c>
      <c r="I60" s="2" t="s">
        <v>158</v>
      </c>
      <c r="J60" s="2">
        <v>90</v>
      </c>
      <c r="K60" s="3">
        <v>53.387</v>
      </c>
      <c r="L60" s="2">
        <v>1.6858036600670576</v>
      </c>
      <c r="M60" s="2">
        <v>263.52982700000001</v>
      </c>
      <c r="N60" s="2">
        <v>113.404679</v>
      </c>
      <c r="O60" s="2">
        <v>150.12524500000001</v>
      </c>
      <c r="P60" s="2">
        <v>307.27678800000001</v>
      </c>
      <c r="Q60" s="2">
        <v>171.27784100000002</v>
      </c>
      <c r="R60" s="2">
        <v>135.99903099999997</v>
      </c>
      <c r="S60" s="2">
        <v>0.85763011490474184</v>
      </c>
      <c r="T60" s="2">
        <v>1</v>
      </c>
      <c r="U60" s="2">
        <v>6</v>
      </c>
      <c r="V60" s="2">
        <v>1</v>
      </c>
      <c r="W60" s="2">
        <v>8</v>
      </c>
      <c r="X60" s="2">
        <v>7</v>
      </c>
      <c r="Y60" s="2">
        <v>6</v>
      </c>
      <c r="Z60" s="2">
        <v>0</v>
      </c>
      <c r="AA60" s="2">
        <v>13</v>
      </c>
      <c r="AB60" s="2">
        <v>0.61538461538461542</v>
      </c>
      <c r="AC60" s="11">
        <f t="shared" si="2"/>
        <v>1.7872110702222996</v>
      </c>
    </row>
    <row r="61" spans="1:29" ht="17">
      <c r="A61" s="4" t="s">
        <v>139</v>
      </c>
      <c r="B61" s="2">
        <v>48.6</v>
      </c>
      <c r="C61" s="4" t="s">
        <v>136</v>
      </c>
      <c r="D61" s="2">
        <v>3000</v>
      </c>
      <c r="E61" s="2" t="s">
        <v>57</v>
      </c>
      <c r="F61" s="2">
        <v>216</v>
      </c>
      <c r="G61" s="2">
        <v>0.22500000000000001</v>
      </c>
      <c r="H61" s="2">
        <v>-2.3959999999999999</v>
      </c>
      <c r="I61" s="2" t="s">
        <v>158</v>
      </c>
      <c r="J61" s="2">
        <v>90</v>
      </c>
      <c r="K61" s="3">
        <v>37.292999999999999</v>
      </c>
      <c r="L61" s="2">
        <v>2.4133215348724963</v>
      </c>
      <c r="M61" s="2">
        <v>263.52982700000001</v>
      </c>
      <c r="N61" s="2">
        <v>113.404679</v>
      </c>
      <c r="O61" s="2">
        <v>150.12524500000001</v>
      </c>
      <c r="P61" s="2">
        <v>258.476448</v>
      </c>
      <c r="Q61" s="2">
        <v>157.37730500000006</v>
      </c>
      <c r="R61" s="2">
        <v>101.099051</v>
      </c>
      <c r="S61" s="2">
        <v>1.0195506361956816</v>
      </c>
      <c r="T61" s="2">
        <v>1</v>
      </c>
      <c r="U61" s="2">
        <v>6</v>
      </c>
      <c r="V61" s="2">
        <v>1</v>
      </c>
      <c r="W61" s="2">
        <v>8</v>
      </c>
      <c r="X61" s="2">
        <v>4</v>
      </c>
      <c r="Y61" s="2">
        <v>4</v>
      </c>
      <c r="Z61" s="2">
        <v>1</v>
      </c>
      <c r="AA61" s="2">
        <v>9</v>
      </c>
      <c r="AB61" s="2">
        <v>0.88888888888888884</v>
      </c>
      <c r="AC61" s="11">
        <f t="shared" si="2"/>
        <v>1.8693382526932072</v>
      </c>
    </row>
    <row r="62" spans="1:29" ht="17">
      <c r="A62" s="4" t="s">
        <v>138</v>
      </c>
      <c r="B62" s="2">
        <v>1180</v>
      </c>
      <c r="C62" s="4" t="s">
        <v>131</v>
      </c>
      <c r="D62" s="2">
        <v>113</v>
      </c>
      <c r="E62" s="2" t="s">
        <v>58</v>
      </c>
      <c r="F62" s="2">
        <v>123</v>
      </c>
      <c r="G62" s="2">
        <v>0.91869918699186992</v>
      </c>
      <c r="H62" s="2">
        <v>18.169</v>
      </c>
      <c r="I62" s="2" t="s">
        <v>158</v>
      </c>
      <c r="J62" s="2">
        <v>90</v>
      </c>
      <c r="K62" s="3">
        <v>47.44</v>
      </c>
      <c r="L62" s="2">
        <v>1.897133220910624</v>
      </c>
      <c r="M62" s="2">
        <v>307.27678800000001</v>
      </c>
      <c r="N62" s="2">
        <v>171.27784100000002</v>
      </c>
      <c r="O62" s="2">
        <v>135.99903099999997</v>
      </c>
      <c r="P62" s="2">
        <v>326.98653399999995</v>
      </c>
      <c r="Q62" s="2">
        <v>186.83260499999997</v>
      </c>
      <c r="R62" s="2">
        <v>140.15379000000001</v>
      </c>
      <c r="S62" s="2">
        <v>0.93972306517062887</v>
      </c>
      <c r="T62" s="2">
        <v>7</v>
      </c>
      <c r="U62" s="2">
        <v>6</v>
      </c>
      <c r="V62" s="2">
        <v>0</v>
      </c>
      <c r="W62" s="2">
        <v>13</v>
      </c>
      <c r="X62" s="2">
        <v>4</v>
      </c>
      <c r="Y62" s="2">
        <v>2</v>
      </c>
      <c r="Z62" s="2">
        <v>1</v>
      </c>
      <c r="AA62" s="2">
        <v>7</v>
      </c>
      <c r="AB62" s="2">
        <v>1.8571428571428572</v>
      </c>
      <c r="AC62" s="11">
        <f t="shared" si="2"/>
        <v>1.542589844260005</v>
      </c>
    </row>
    <row r="63" spans="1:29" ht="17">
      <c r="A63" s="2" t="s">
        <v>141</v>
      </c>
      <c r="B63" s="2">
        <v>138</v>
      </c>
      <c r="C63" s="2" t="s">
        <v>143</v>
      </c>
      <c r="D63" s="2">
        <v>99.5</v>
      </c>
      <c r="E63" s="2" t="s">
        <v>59</v>
      </c>
      <c r="F63" s="2">
        <v>2.91</v>
      </c>
      <c r="G63" s="2">
        <v>34.192439862542955</v>
      </c>
      <c r="H63" s="2">
        <v>6.0439999999999996</v>
      </c>
      <c r="I63" s="2" t="s">
        <v>158</v>
      </c>
      <c r="J63" s="2">
        <v>90</v>
      </c>
      <c r="K63" s="3">
        <v>46.444000000000003</v>
      </c>
      <c r="L63" s="2">
        <v>1.9378175867711651</v>
      </c>
      <c r="M63" s="2">
        <v>401.78200400000003</v>
      </c>
      <c r="N63" s="2">
        <v>220.08053999999998</v>
      </c>
      <c r="O63" s="2">
        <v>181.70129399999999</v>
      </c>
      <c r="P63" s="2">
        <v>355.54163900000003</v>
      </c>
      <c r="Q63" s="2">
        <v>93.098927000000018</v>
      </c>
      <c r="R63" s="2">
        <v>262.44285100000008</v>
      </c>
      <c r="S63" s="2">
        <v>1.130056116999562</v>
      </c>
      <c r="T63" s="2">
        <v>12</v>
      </c>
      <c r="U63" s="2">
        <v>5</v>
      </c>
      <c r="V63" s="2">
        <v>0</v>
      </c>
      <c r="W63" s="2">
        <v>17</v>
      </c>
      <c r="X63" s="2">
        <v>5</v>
      </c>
      <c r="Y63" s="2">
        <v>9</v>
      </c>
      <c r="Z63" s="2">
        <v>0</v>
      </c>
      <c r="AA63" s="2">
        <v>14</v>
      </c>
      <c r="AB63" s="2">
        <v>0.82352941176470584</v>
      </c>
      <c r="AC63" s="11">
        <f t="shared" si="2"/>
        <v>1.7556557079939787</v>
      </c>
    </row>
    <row r="64" spans="1:29" ht="17">
      <c r="A64" s="2" t="s">
        <v>141</v>
      </c>
      <c r="B64" s="2">
        <v>138</v>
      </c>
      <c r="C64" s="2" t="s">
        <v>144</v>
      </c>
      <c r="D64" s="2">
        <v>212</v>
      </c>
      <c r="E64" s="2" t="s">
        <v>60</v>
      </c>
      <c r="F64" s="2">
        <v>0.79200000000000004</v>
      </c>
      <c r="G64" s="2">
        <v>174.24242424242422</v>
      </c>
      <c r="H64" s="2">
        <v>-3.5390000000000001</v>
      </c>
      <c r="I64" s="2" t="s">
        <v>158</v>
      </c>
      <c r="J64" s="2">
        <v>90</v>
      </c>
      <c r="K64" s="3">
        <v>55.52</v>
      </c>
      <c r="L64" s="2">
        <v>1.6210374639769451</v>
      </c>
      <c r="M64" s="2">
        <v>401.78200400000003</v>
      </c>
      <c r="N64" s="2">
        <v>220.08053999999998</v>
      </c>
      <c r="O64" s="2">
        <v>181.70129399999999</v>
      </c>
      <c r="P64" s="2">
        <v>365.21654600000005</v>
      </c>
      <c r="Q64" s="2">
        <v>128.86028300000001</v>
      </c>
      <c r="R64" s="2">
        <v>236.35607899999999</v>
      </c>
      <c r="S64" s="2">
        <v>1.100119938158552</v>
      </c>
      <c r="T64" s="2">
        <v>12</v>
      </c>
      <c r="U64" s="2">
        <v>5</v>
      </c>
      <c r="V64" s="2">
        <v>0</v>
      </c>
      <c r="W64" s="2">
        <v>17</v>
      </c>
      <c r="X64" s="2">
        <v>5</v>
      </c>
      <c r="Y64" s="2">
        <v>7</v>
      </c>
      <c r="Z64" s="2">
        <v>0</v>
      </c>
      <c r="AA64" s="2">
        <v>12</v>
      </c>
      <c r="AB64" s="2">
        <v>0.70588235294117652</v>
      </c>
      <c r="AC64" s="11">
        <f t="shared" si="2"/>
        <v>1.9847249508056795</v>
      </c>
    </row>
    <row r="65" spans="1:29" ht="17">
      <c r="A65" s="2" t="s">
        <v>141</v>
      </c>
      <c r="B65" s="2">
        <v>138</v>
      </c>
      <c r="C65" s="2" t="s">
        <v>145</v>
      </c>
      <c r="D65" s="2">
        <v>26.9</v>
      </c>
      <c r="E65" s="2" t="s">
        <v>61</v>
      </c>
      <c r="F65" s="2">
        <v>0.72199999999999998</v>
      </c>
      <c r="G65" s="2">
        <v>37.257617728531855</v>
      </c>
      <c r="H65" s="2">
        <v>5.7229999999999999</v>
      </c>
      <c r="I65" s="2" t="s">
        <v>158</v>
      </c>
      <c r="J65" s="2">
        <v>90</v>
      </c>
      <c r="K65" s="3">
        <v>46.881</v>
      </c>
      <c r="L65" s="2">
        <v>1.9197542714532541</v>
      </c>
      <c r="M65" s="2">
        <v>401.78200400000003</v>
      </c>
      <c r="N65" s="2">
        <v>220.08053999999998</v>
      </c>
      <c r="O65" s="2">
        <v>181.70129399999999</v>
      </c>
      <c r="P65" s="2">
        <v>361.04667599999999</v>
      </c>
      <c r="Q65" s="2">
        <v>122.77821399999999</v>
      </c>
      <c r="R65" s="2">
        <v>238.26829699999999</v>
      </c>
      <c r="S65" s="2">
        <v>1.1128256558163134</v>
      </c>
      <c r="T65" s="2">
        <v>12</v>
      </c>
      <c r="U65" s="2">
        <v>5</v>
      </c>
      <c r="V65" s="2">
        <v>0</v>
      </c>
      <c r="W65" s="2">
        <v>17</v>
      </c>
      <c r="X65" s="2">
        <v>7</v>
      </c>
      <c r="Y65" s="2">
        <v>5</v>
      </c>
      <c r="Z65" s="2">
        <v>0</v>
      </c>
      <c r="AA65" s="2">
        <v>12</v>
      </c>
      <c r="AB65" s="2">
        <v>0.70588235294117652</v>
      </c>
      <c r="AC65" s="11">
        <f t="shared" si="2"/>
        <v>1.6733024256716091</v>
      </c>
    </row>
    <row r="66" spans="1:29" ht="17">
      <c r="A66" s="2" t="s">
        <v>141</v>
      </c>
      <c r="B66" s="2">
        <v>138</v>
      </c>
      <c r="C66" s="2" t="s">
        <v>146</v>
      </c>
      <c r="D66" s="2">
        <v>69.300000000000011</v>
      </c>
      <c r="E66" s="2" t="s">
        <v>62</v>
      </c>
      <c r="F66" s="2">
        <v>100</v>
      </c>
      <c r="G66" s="2">
        <v>0.69300000000000006</v>
      </c>
      <c r="H66" s="2">
        <v>3.3159999999999998</v>
      </c>
      <c r="I66" s="2" t="s">
        <v>158</v>
      </c>
      <c r="J66" s="2">
        <v>90</v>
      </c>
      <c r="K66" s="3">
        <v>57.631</v>
      </c>
      <c r="L66" s="2">
        <v>1.5616595235203277</v>
      </c>
      <c r="M66" s="2">
        <v>401.78200400000003</v>
      </c>
      <c r="N66" s="2">
        <v>220.08053999999998</v>
      </c>
      <c r="O66" s="2">
        <v>181.70129399999999</v>
      </c>
      <c r="P66" s="2">
        <v>451.19195999999999</v>
      </c>
      <c r="Q66" s="2">
        <v>138.02437800000001</v>
      </c>
      <c r="R66" s="2">
        <v>313.16749299999992</v>
      </c>
      <c r="S66" s="2">
        <v>0.89049016742230969</v>
      </c>
      <c r="T66" s="2">
        <v>12</v>
      </c>
      <c r="U66" s="2">
        <v>5</v>
      </c>
      <c r="V66" s="2">
        <v>0</v>
      </c>
      <c r="W66" s="2">
        <v>17</v>
      </c>
      <c r="X66" s="2">
        <v>7</v>
      </c>
      <c r="Y66" s="2">
        <v>5</v>
      </c>
      <c r="Z66" s="2">
        <v>0</v>
      </c>
      <c r="AA66" s="2">
        <v>12</v>
      </c>
      <c r="AB66" s="2">
        <v>0.70588235294117652</v>
      </c>
      <c r="AC66" s="11">
        <f t="shared" si="2"/>
        <v>2.0347129968431585</v>
      </c>
    </row>
    <row r="67" spans="1:29" ht="17">
      <c r="A67" s="2" t="s">
        <v>141</v>
      </c>
      <c r="B67" s="2">
        <v>138</v>
      </c>
      <c r="C67" s="2" t="s">
        <v>147</v>
      </c>
      <c r="D67" s="2">
        <v>413</v>
      </c>
      <c r="E67" s="2" t="s">
        <v>63</v>
      </c>
      <c r="F67" s="2">
        <v>165</v>
      </c>
      <c r="G67" s="2">
        <v>0.83636363636363631</v>
      </c>
      <c r="H67" s="2">
        <v>7.0330000000000004</v>
      </c>
      <c r="I67" s="2" t="s">
        <v>158</v>
      </c>
      <c r="J67" s="2">
        <v>90</v>
      </c>
      <c r="K67" s="3">
        <v>47.951000000000001</v>
      </c>
      <c r="L67" s="2">
        <v>1.8769160184354863</v>
      </c>
      <c r="M67" s="2">
        <v>401.78200400000003</v>
      </c>
      <c r="N67" s="2">
        <v>220.08053999999998</v>
      </c>
      <c r="O67" s="2">
        <v>181.70129399999999</v>
      </c>
      <c r="P67" s="2">
        <v>460.04647499999993</v>
      </c>
      <c r="Q67" s="2">
        <v>113.94948100000002</v>
      </c>
      <c r="R67" s="2">
        <v>346.09716400000002</v>
      </c>
      <c r="S67" s="2">
        <v>0.87335090221047795</v>
      </c>
      <c r="T67" s="2">
        <v>12</v>
      </c>
      <c r="U67" s="2">
        <v>5</v>
      </c>
      <c r="V67" s="2">
        <v>0</v>
      </c>
      <c r="W67" s="2">
        <v>17</v>
      </c>
      <c r="X67" s="2">
        <v>9</v>
      </c>
      <c r="Y67" s="2">
        <v>8</v>
      </c>
      <c r="Z67" s="2">
        <v>0</v>
      </c>
      <c r="AA67" s="2">
        <v>17</v>
      </c>
      <c r="AB67" s="2">
        <v>1</v>
      </c>
      <c r="AC67" s="11">
        <f t="shared" si="2"/>
        <v>1.9964348837749917</v>
      </c>
    </row>
    <row r="68" spans="1:29" ht="17">
      <c r="A68" s="2" t="s">
        <v>141</v>
      </c>
      <c r="B68" s="2">
        <v>138</v>
      </c>
      <c r="C68" s="2" t="s">
        <v>142</v>
      </c>
      <c r="D68" s="2">
        <v>1470</v>
      </c>
      <c r="E68" s="2" t="s">
        <v>64</v>
      </c>
      <c r="F68" s="2">
        <v>52.7</v>
      </c>
      <c r="G68" s="2">
        <v>2.618595825426945</v>
      </c>
      <c r="H68" s="2">
        <v>10.057</v>
      </c>
      <c r="I68" s="2" t="s">
        <v>158</v>
      </c>
      <c r="J68" s="2">
        <v>90</v>
      </c>
      <c r="K68" s="3">
        <v>37.786000000000001</v>
      </c>
      <c r="L68" s="2">
        <v>2.3818345418938232</v>
      </c>
      <c r="M68" s="2">
        <v>401.78200400000003</v>
      </c>
      <c r="N68" s="2">
        <v>220.08053999999998</v>
      </c>
      <c r="O68" s="2">
        <v>181.70129399999999</v>
      </c>
      <c r="P68" s="2">
        <v>479.61241899999999</v>
      </c>
      <c r="Q68" s="2">
        <v>138.09142900000001</v>
      </c>
      <c r="R68" s="2">
        <v>341.52099600000003</v>
      </c>
      <c r="S68" s="2">
        <v>0.83772226923923765</v>
      </c>
      <c r="T68" s="2">
        <v>12</v>
      </c>
      <c r="U68" s="2">
        <v>5</v>
      </c>
      <c r="V68" s="2">
        <v>0</v>
      </c>
      <c r="W68" s="2">
        <v>17</v>
      </c>
      <c r="X68" s="2">
        <v>8</v>
      </c>
      <c r="Y68" s="2">
        <v>3</v>
      </c>
      <c r="Z68" s="2">
        <v>0</v>
      </c>
      <c r="AA68" s="2">
        <v>11</v>
      </c>
      <c r="AB68" s="2">
        <v>0.6470588235294118</v>
      </c>
      <c r="AC68" s="11">
        <f t="shared" si="2"/>
        <v>1.4847810927686496</v>
      </c>
    </row>
    <row r="69" spans="1:29" ht="17">
      <c r="A69" s="2" t="s">
        <v>149</v>
      </c>
      <c r="B69" s="2">
        <v>220</v>
      </c>
      <c r="C69" s="2" t="s">
        <v>142</v>
      </c>
      <c r="D69" s="2">
        <v>1470</v>
      </c>
      <c r="E69" s="2" t="s">
        <v>65</v>
      </c>
      <c r="F69" s="2">
        <v>7.13</v>
      </c>
      <c r="G69" s="2">
        <v>30.855539971949508</v>
      </c>
      <c r="H69" s="2">
        <v>31.024000000000001</v>
      </c>
      <c r="I69" s="2" t="s">
        <v>158</v>
      </c>
      <c r="J69" s="2">
        <v>90</v>
      </c>
      <c r="K69" s="3">
        <v>55.347999999999999</v>
      </c>
      <c r="L69" s="2">
        <v>1.6260750162607502</v>
      </c>
      <c r="M69" s="2">
        <v>489.53467200000006</v>
      </c>
      <c r="N69" s="2">
        <v>159.10767099999998</v>
      </c>
      <c r="O69" s="2">
        <v>330.42694800000004</v>
      </c>
      <c r="P69" s="2">
        <v>479.61241899999999</v>
      </c>
      <c r="Q69" s="2">
        <v>138.09142900000001</v>
      </c>
      <c r="R69" s="2">
        <v>341.52099600000003</v>
      </c>
      <c r="S69" s="2">
        <v>1.0206880652104215</v>
      </c>
      <c r="T69" s="2">
        <v>7</v>
      </c>
      <c r="U69" s="2">
        <v>7</v>
      </c>
      <c r="V69" s="2">
        <v>0</v>
      </c>
      <c r="W69" s="2">
        <v>14</v>
      </c>
      <c r="X69" s="2">
        <v>8</v>
      </c>
      <c r="Y69" s="2">
        <v>3</v>
      </c>
      <c r="Z69" s="2">
        <v>0</v>
      </c>
      <c r="AA69" s="2">
        <v>11</v>
      </c>
      <c r="AB69" s="2">
        <v>0.7857142857142857</v>
      </c>
      <c r="AC69" s="11">
        <f t="shared" si="2"/>
        <v>2.138951204243114</v>
      </c>
    </row>
    <row r="70" spans="1:29" ht="17">
      <c r="A70" s="2" t="s">
        <v>150</v>
      </c>
      <c r="B70" s="2">
        <v>702</v>
      </c>
      <c r="C70" s="2" t="s">
        <v>142</v>
      </c>
      <c r="D70" s="2">
        <v>1470</v>
      </c>
      <c r="E70" s="2" t="s">
        <v>66</v>
      </c>
      <c r="F70" s="2">
        <v>546</v>
      </c>
      <c r="G70" s="2">
        <v>1.2857142857142858</v>
      </c>
      <c r="H70" s="2">
        <v>25.725000000000001</v>
      </c>
      <c r="I70" s="2" t="s">
        <v>158</v>
      </c>
      <c r="J70" s="2">
        <v>90</v>
      </c>
      <c r="K70" s="3">
        <v>46.280999999999999</v>
      </c>
      <c r="L70" s="2">
        <v>1.9446425098852662</v>
      </c>
      <c r="M70" s="2">
        <v>489.48157500000002</v>
      </c>
      <c r="N70" s="2">
        <v>125.21337999999999</v>
      </c>
      <c r="O70" s="2">
        <v>364.26828999999998</v>
      </c>
      <c r="P70" s="2">
        <v>479.61241899999999</v>
      </c>
      <c r="Q70" s="2">
        <v>138.09142900000001</v>
      </c>
      <c r="R70" s="2">
        <v>341.52099600000003</v>
      </c>
      <c r="S70" s="2">
        <v>1.0205773570679788</v>
      </c>
      <c r="T70" s="2">
        <v>7</v>
      </c>
      <c r="U70" s="2">
        <v>5</v>
      </c>
      <c r="V70" s="2">
        <v>1</v>
      </c>
      <c r="W70" s="2">
        <v>13</v>
      </c>
      <c r="X70" s="2">
        <v>8</v>
      </c>
      <c r="Y70" s="2">
        <v>3</v>
      </c>
      <c r="Z70" s="2">
        <v>0</v>
      </c>
      <c r="AA70" s="2">
        <v>11</v>
      </c>
      <c r="AB70" s="2">
        <v>0.84615384615384615</v>
      </c>
      <c r="AC70" s="11">
        <f t="shared" si="2"/>
        <v>1.8809339792006012</v>
      </c>
    </row>
    <row r="71" spans="1:29" ht="17">
      <c r="A71" s="2" t="s">
        <v>143</v>
      </c>
      <c r="B71" s="2">
        <v>99.5</v>
      </c>
      <c r="C71" s="2" t="s">
        <v>142</v>
      </c>
      <c r="D71" s="2">
        <v>1470</v>
      </c>
      <c r="E71" s="2" t="s">
        <v>67</v>
      </c>
      <c r="F71" s="2">
        <v>688</v>
      </c>
      <c r="G71" s="2">
        <v>0.14462209302325582</v>
      </c>
      <c r="H71" s="2">
        <v>27.274000000000001</v>
      </c>
      <c r="I71" s="2" t="s">
        <v>158</v>
      </c>
      <c r="J71" s="2">
        <v>90</v>
      </c>
      <c r="K71" s="3">
        <v>64.635000000000005</v>
      </c>
      <c r="L71" s="2">
        <v>1.392434439545138</v>
      </c>
      <c r="M71" s="2">
        <v>355.54163900000003</v>
      </c>
      <c r="N71" s="2">
        <v>93.098927000000018</v>
      </c>
      <c r="O71" s="2">
        <v>262.44285100000008</v>
      </c>
      <c r="P71" s="2">
        <v>479.61241899999999</v>
      </c>
      <c r="Q71" s="2">
        <v>138.09142900000001</v>
      </c>
      <c r="R71" s="2">
        <v>341.52099600000003</v>
      </c>
      <c r="S71" s="2">
        <v>0.74131032666191243</v>
      </c>
      <c r="T71" s="2">
        <v>5</v>
      </c>
      <c r="U71" s="2">
        <v>9</v>
      </c>
      <c r="V71" s="2">
        <v>0</v>
      </c>
      <c r="W71" s="2">
        <v>14</v>
      </c>
      <c r="X71" s="2">
        <v>8</v>
      </c>
      <c r="Y71" s="2">
        <v>3</v>
      </c>
      <c r="Z71" s="2">
        <v>0</v>
      </c>
      <c r="AA71" s="2">
        <v>11</v>
      </c>
      <c r="AB71" s="2">
        <v>0.7857142857142857</v>
      </c>
      <c r="AC71" s="11">
        <f t="shared" si="2"/>
        <v>2.1345901728310599</v>
      </c>
    </row>
    <row r="72" spans="1:29" ht="17">
      <c r="A72" s="2" t="s">
        <v>145</v>
      </c>
      <c r="B72" s="2">
        <v>26.9</v>
      </c>
      <c r="C72" s="2" t="s">
        <v>142</v>
      </c>
      <c r="D72" s="2">
        <v>1470</v>
      </c>
      <c r="E72" s="2" t="s">
        <v>68</v>
      </c>
      <c r="F72" s="2">
        <v>115</v>
      </c>
      <c r="G72" s="2">
        <v>0.23391304347826086</v>
      </c>
      <c r="H72" s="2">
        <v>25.725000000000001</v>
      </c>
      <c r="I72" s="2" t="s">
        <v>158</v>
      </c>
      <c r="J72" s="2">
        <v>90</v>
      </c>
      <c r="K72" s="3">
        <v>55.18</v>
      </c>
      <c r="L72" s="2">
        <v>1.6310257339615803</v>
      </c>
      <c r="M72" s="2">
        <v>361.04667599999999</v>
      </c>
      <c r="N72" s="2">
        <v>122.77821399999999</v>
      </c>
      <c r="O72" s="2">
        <v>238.26829699999999</v>
      </c>
      <c r="P72" s="2">
        <v>479.61241899999999</v>
      </c>
      <c r="Q72" s="2">
        <v>138.09142900000001</v>
      </c>
      <c r="R72" s="2">
        <v>341.52099600000003</v>
      </c>
      <c r="S72" s="2">
        <v>0.75278842185277106</v>
      </c>
      <c r="T72" s="2">
        <v>7</v>
      </c>
      <c r="U72" s="2">
        <v>5</v>
      </c>
      <c r="V72" s="2">
        <v>0</v>
      </c>
      <c r="W72" s="2">
        <v>12</v>
      </c>
      <c r="X72" s="2">
        <v>8</v>
      </c>
      <c r="Y72" s="2">
        <v>3</v>
      </c>
      <c r="Z72" s="2">
        <v>0</v>
      </c>
      <c r="AA72" s="2">
        <v>11</v>
      </c>
      <c r="AB72" s="2">
        <v>0.91666666666666663</v>
      </c>
      <c r="AC72" s="11">
        <f t="shared" si="2"/>
        <v>2.0384293545578571</v>
      </c>
    </row>
    <row r="73" spans="1:29" ht="17">
      <c r="A73" s="2" t="s">
        <v>146</v>
      </c>
      <c r="B73" s="2">
        <v>69.300000000000011</v>
      </c>
      <c r="C73" s="2" t="s">
        <v>142</v>
      </c>
      <c r="D73" s="2">
        <v>1470</v>
      </c>
      <c r="E73" s="2" t="s">
        <v>69</v>
      </c>
      <c r="F73" s="2">
        <v>7.19</v>
      </c>
      <c r="G73" s="2">
        <v>9.6383866481223937</v>
      </c>
      <c r="H73" s="2">
        <v>20.786999999999999</v>
      </c>
      <c r="I73" s="2" t="s">
        <v>158</v>
      </c>
      <c r="J73" s="2">
        <v>90</v>
      </c>
      <c r="K73" s="3">
        <v>67.56</v>
      </c>
      <c r="L73" s="2">
        <v>1.3321492007104796</v>
      </c>
      <c r="M73" s="2">
        <v>451.19195999999999</v>
      </c>
      <c r="N73" s="2">
        <v>138.02437800000001</v>
      </c>
      <c r="O73" s="2">
        <v>313.16749299999992</v>
      </c>
      <c r="P73" s="2">
        <v>479.61241899999999</v>
      </c>
      <c r="Q73" s="2">
        <v>138.09142900000001</v>
      </c>
      <c r="R73" s="2">
        <v>341.52099600000003</v>
      </c>
      <c r="S73" s="2">
        <v>0.94074286262383044</v>
      </c>
      <c r="T73" s="2">
        <v>7</v>
      </c>
      <c r="U73" s="2">
        <v>5</v>
      </c>
      <c r="V73" s="2">
        <v>0</v>
      </c>
      <c r="W73" s="2">
        <v>12</v>
      </c>
      <c r="X73" s="2">
        <v>8</v>
      </c>
      <c r="Y73" s="2">
        <v>3</v>
      </c>
      <c r="Z73" s="2">
        <v>0</v>
      </c>
      <c r="AA73" s="2">
        <v>11</v>
      </c>
      <c r="AB73" s="2">
        <v>0.91666666666666663</v>
      </c>
      <c r="AC73" s="11">
        <f t="shared" si="2"/>
        <v>2.5252603285800173</v>
      </c>
    </row>
    <row r="74" spans="1:29" ht="17">
      <c r="A74" s="2" t="s">
        <v>148</v>
      </c>
      <c r="B74" s="2">
        <v>698</v>
      </c>
      <c r="C74" s="2" t="s">
        <v>142</v>
      </c>
      <c r="D74" s="2">
        <v>1470</v>
      </c>
      <c r="E74" s="2" t="s">
        <v>70</v>
      </c>
      <c r="F74" s="2">
        <v>198</v>
      </c>
      <c r="G74" s="2">
        <v>3.5252525252525251</v>
      </c>
      <c r="H74" s="2">
        <v>23.596</v>
      </c>
      <c r="I74" s="2" t="s">
        <v>158</v>
      </c>
      <c r="J74" s="2">
        <v>90</v>
      </c>
      <c r="K74" s="3">
        <v>44.731999999999999</v>
      </c>
      <c r="L74" s="2">
        <v>2.0119824733971208</v>
      </c>
      <c r="M74" s="2">
        <v>528.88547800000015</v>
      </c>
      <c r="N74" s="2">
        <v>156.73678100000001</v>
      </c>
      <c r="O74" s="2">
        <v>372.14883200000003</v>
      </c>
      <c r="P74" s="2">
        <v>479.61241899999999</v>
      </c>
      <c r="Q74" s="2">
        <v>138.09142900000001</v>
      </c>
      <c r="R74" s="2">
        <v>341.52099600000003</v>
      </c>
      <c r="S74" s="2">
        <v>1.1027351608257669</v>
      </c>
      <c r="T74" s="2">
        <v>8</v>
      </c>
      <c r="U74" s="2">
        <v>9</v>
      </c>
      <c r="V74" s="2">
        <v>0</v>
      </c>
      <c r="W74" s="2">
        <v>17</v>
      </c>
      <c r="X74" s="2">
        <v>8</v>
      </c>
      <c r="Y74" s="2">
        <v>3</v>
      </c>
      <c r="Z74" s="2">
        <v>0</v>
      </c>
      <c r="AA74" s="2">
        <v>11</v>
      </c>
      <c r="AB74" s="2">
        <v>0.6470588235294118</v>
      </c>
      <c r="AC74" s="11">
        <f t="shared" si="2"/>
        <v>1.5443236627036447</v>
      </c>
    </row>
    <row r="75" spans="1:29" ht="17">
      <c r="A75" s="4" t="s">
        <v>131</v>
      </c>
      <c r="B75" s="2">
        <v>113</v>
      </c>
      <c r="C75" s="4" t="s">
        <v>136</v>
      </c>
      <c r="D75" s="2">
        <v>3000</v>
      </c>
      <c r="E75" s="3" t="s">
        <v>160</v>
      </c>
      <c r="F75" s="2">
        <v>59.1</v>
      </c>
      <c r="G75" s="2">
        <v>1.91</v>
      </c>
      <c r="H75" s="3">
        <v>6.3029999999999999</v>
      </c>
      <c r="I75" s="3" t="s">
        <v>163</v>
      </c>
      <c r="J75" s="3">
        <v>48.423999999999999</v>
      </c>
      <c r="K75" s="3">
        <v>48.039000000000001</v>
      </c>
      <c r="L75" s="6">
        <v>1.008014322</v>
      </c>
      <c r="M75" s="2">
        <v>326.98653399999995</v>
      </c>
      <c r="N75" s="2">
        <v>186.83260499999997</v>
      </c>
      <c r="O75" s="2">
        <v>140.15379000000001</v>
      </c>
      <c r="P75" s="2">
        <v>258.476448</v>
      </c>
      <c r="Q75" s="2">
        <v>157.37730500000006</v>
      </c>
      <c r="R75" s="2">
        <v>101.099051</v>
      </c>
      <c r="S75" s="2">
        <v>1.2650534953188459</v>
      </c>
      <c r="T75" s="2">
        <v>4</v>
      </c>
      <c r="U75" s="2">
        <v>2</v>
      </c>
      <c r="V75" s="2">
        <v>1</v>
      </c>
      <c r="W75" s="2">
        <v>7</v>
      </c>
      <c r="X75" s="2">
        <v>4</v>
      </c>
      <c r="Y75" s="2">
        <v>4</v>
      </c>
      <c r="Z75" s="2">
        <v>1</v>
      </c>
      <c r="AA75" s="2">
        <v>9</v>
      </c>
      <c r="AB75" s="2">
        <v>0.77777777777777779</v>
      </c>
      <c r="AC75" s="11">
        <f t="shared" si="2"/>
        <v>2.504709960458932</v>
      </c>
    </row>
    <row r="76" spans="1:29" ht="17">
      <c r="A76" s="4" t="s">
        <v>134</v>
      </c>
      <c r="B76" s="2">
        <v>114</v>
      </c>
      <c r="C76" s="4" t="s">
        <v>138</v>
      </c>
      <c r="D76" s="2">
        <v>1180</v>
      </c>
      <c r="E76" s="3" t="s">
        <v>161</v>
      </c>
      <c r="F76" s="2">
        <v>9.9500000000000005E-2</v>
      </c>
      <c r="G76" s="2">
        <v>1145.73</v>
      </c>
      <c r="H76" s="3">
        <v>-3.0539999999999998</v>
      </c>
      <c r="I76" s="3" t="s">
        <v>164</v>
      </c>
      <c r="J76" s="3">
        <v>44.796999999999997</v>
      </c>
      <c r="K76" s="3">
        <v>39.755000000000003</v>
      </c>
      <c r="L76" s="6">
        <v>1.126826814</v>
      </c>
      <c r="M76" s="2">
        <v>321.49026300000003</v>
      </c>
      <c r="N76" s="2">
        <v>171.64188399999998</v>
      </c>
      <c r="O76" s="2">
        <v>149.84830299999999</v>
      </c>
      <c r="P76" s="2">
        <v>307.27678800000001</v>
      </c>
      <c r="Q76" s="2">
        <v>171.27784100000002</v>
      </c>
      <c r="R76" s="2">
        <v>135.99903099999997</v>
      </c>
      <c r="S76" s="2">
        <v>1.0462562600075083</v>
      </c>
      <c r="T76" s="2">
        <v>4</v>
      </c>
      <c r="U76" s="2">
        <v>5</v>
      </c>
      <c r="V76" s="2">
        <v>2</v>
      </c>
      <c r="W76" s="2">
        <v>11</v>
      </c>
      <c r="X76" s="2">
        <v>7</v>
      </c>
      <c r="Y76" s="2">
        <v>6</v>
      </c>
      <c r="Z76" s="2">
        <v>0</v>
      </c>
      <c r="AA76" s="2">
        <v>13</v>
      </c>
      <c r="AB76" s="2">
        <v>0.84615384615384615</v>
      </c>
      <c r="AC76" s="11">
        <f t="shared" si="2"/>
        <v>2.673070772146338</v>
      </c>
    </row>
    <row r="77" spans="1:29" ht="17">
      <c r="A77" s="4" t="s">
        <v>134</v>
      </c>
      <c r="B77" s="2">
        <v>114</v>
      </c>
      <c r="C77" s="4" t="s">
        <v>136</v>
      </c>
      <c r="D77" s="2">
        <v>3000</v>
      </c>
      <c r="E77" s="3" t="s">
        <v>162</v>
      </c>
      <c r="F77" s="2">
        <v>7.7799999999999994E-2</v>
      </c>
      <c r="G77" s="2">
        <v>1465.3</v>
      </c>
      <c r="H77" s="3">
        <v>12.696</v>
      </c>
      <c r="I77" s="3" t="s">
        <v>165</v>
      </c>
      <c r="J77" s="3">
        <v>64.849999999999994</v>
      </c>
      <c r="K77" s="3">
        <v>45.518999999999998</v>
      </c>
      <c r="L77" s="6">
        <v>1.4246798039999999</v>
      </c>
      <c r="M77" s="2">
        <v>321.49026300000003</v>
      </c>
      <c r="N77" s="2">
        <v>171.64188399999998</v>
      </c>
      <c r="O77" s="2">
        <v>149.84830299999999</v>
      </c>
      <c r="P77" s="2">
        <v>258.476448</v>
      </c>
      <c r="Q77" s="2">
        <v>157.37730500000006</v>
      </c>
      <c r="R77" s="2">
        <v>101.099051</v>
      </c>
      <c r="S77" s="2">
        <v>1.2437893877278909</v>
      </c>
      <c r="T77" s="2">
        <v>4</v>
      </c>
      <c r="U77" s="2">
        <v>5</v>
      </c>
      <c r="V77" s="2">
        <v>2</v>
      </c>
      <c r="W77" s="2">
        <v>11</v>
      </c>
      <c r="X77" s="2">
        <v>4</v>
      </c>
      <c r="Y77" s="2">
        <v>4</v>
      </c>
      <c r="Z77" s="2">
        <v>1</v>
      </c>
      <c r="AA77" s="2">
        <v>9</v>
      </c>
      <c r="AB77" s="2">
        <v>1.2222222222222223</v>
      </c>
      <c r="AC77" s="11">
        <f t="shared" si="2"/>
        <v>2.1093085860498868</v>
      </c>
    </row>
    <row r="78" spans="1:29" ht="17">
      <c r="A78" s="3" t="s">
        <v>169</v>
      </c>
      <c r="B78" s="3">
        <v>867.3</v>
      </c>
      <c r="C78" s="3" t="s">
        <v>171</v>
      </c>
      <c r="D78" s="3">
        <v>101.7</v>
      </c>
      <c r="E78" s="3" t="s">
        <v>173</v>
      </c>
      <c r="F78" s="2">
        <v>4.09</v>
      </c>
      <c r="G78" s="7">
        <v>24.865525672371639</v>
      </c>
      <c r="H78" s="2">
        <v>-27.199000000000002</v>
      </c>
      <c r="I78" s="3" t="s">
        <v>182</v>
      </c>
      <c r="J78" s="3">
        <v>41.493000000000002</v>
      </c>
      <c r="K78" s="3">
        <v>35.933</v>
      </c>
      <c r="L78" s="3">
        <v>1.1547324186680767</v>
      </c>
      <c r="M78" s="2">
        <v>245.92968800000003</v>
      </c>
      <c r="N78" s="2">
        <v>129.30007800000001</v>
      </c>
      <c r="O78" s="2">
        <v>116.629651</v>
      </c>
      <c r="P78" s="2">
        <v>271.65998100000002</v>
      </c>
      <c r="Q78" s="2">
        <v>121.86641</v>
      </c>
      <c r="R78" s="2">
        <v>149.79363000000001</v>
      </c>
      <c r="S78" s="2">
        <v>0.90528493411033562</v>
      </c>
      <c r="T78" s="2">
        <v>3</v>
      </c>
      <c r="U78" s="2">
        <v>1</v>
      </c>
      <c r="V78" s="2">
        <v>0</v>
      </c>
      <c r="W78" s="2">
        <v>4</v>
      </c>
      <c r="X78" s="2">
        <v>6</v>
      </c>
      <c r="Y78" s="2">
        <v>7</v>
      </c>
      <c r="Z78" s="2">
        <v>3</v>
      </c>
      <c r="AA78" s="2">
        <v>16</v>
      </c>
      <c r="AB78" s="2">
        <v>4</v>
      </c>
      <c r="AC78" s="11">
        <f t="shared" si="2"/>
        <v>2.250552515442259</v>
      </c>
    </row>
    <row r="79" spans="1:29" ht="17">
      <c r="A79" s="3" t="s">
        <v>170</v>
      </c>
      <c r="B79" s="3">
        <v>209.8</v>
      </c>
      <c r="C79" s="3" t="s">
        <v>171</v>
      </c>
      <c r="D79" s="3">
        <v>101.7</v>
      </c>
      <c r="E79" s="3" t="s">
        <v>174</v>
      </c>
      <c r="F79" s="2">
        <v>0.23200000000000001</v>
      </c>
      <c r="G79" s="7">
        <v>438.36206896551721</v>
      </c>
      <c r="H79" s="2">
        <v>-20.690999999999999</v>
      </c>
      <c r="I79" s="3" t="s">
        <v>164</v>
      </c>
      <c r="J79" s="3">
        <v>44.796999999999997</v>
      </c>
      <c r="K79" s="3">
        <v>41.962000000000003</v>
      </c>
      <c r="L79" s="3">
        <v>1.0675611267337113</v>
      </c>
      <c r="M79" s="2">
        <v>443.05761199999995</v>
      </c>
      <c r="N79" s="2">
        <v>273.54349500000006</v>
      </c>
      <c r="O79" s="2">
        <v>169.51407600000005</v>
      </c>
      <c r="P79" s="2">
        <v>271.65998100000002</v>
      </c>
      <c r="Q79" s="2">
        <v>121.86641</v>
      </c>
      <c r="R79" s="2">
        <v>149.79363000000001</v>
      </c>
      <c r="S79" s="2">
        <v>1.6309270521520058</v>
      </c>
      <c r="T79" s="2">
        <v>12</v>
      </c>
      <c r="U79" s="2">
        <v>6</v>
      </c>
      <c r="V79" s="2">
        <v>2</v>
      </c>
      <c r="W79" s="2">
        <v>20</v>
      </c>
      <c r="X79" s="2">
        <v>6</v>
      </c>
      <c r="Y79" s="2">
        <v>7</v>
      </c>
      <c r="Z79" s="2">
        <v>3</v>
      </c>
      <c r="AA79" s="2">
        <v>16</v>
      </c>
      <c r="AB79" s="2">
        <v>0.8</v>
      </c>
      <c r="AC79" s="11">
        <f t="shared" si="2"/>
        <v>2.2324388732662888</v>
      </c>
    </row>
    <row r="80" spans="1:29" ht="17">
      <c r="A80" s="3" t="s">
        <v>170</v>
      </c>
      <c r="B80" s="3">
        <v>209.8</v>
      </c>
      <c r="C80" s="3" t="s">
        <v>172</v>
      </c>
      <c r="D80" s="3">
        <v>19.100000000000001</v>
      </c>
      <c r="E80" s="3" t="s">
        <v>175</v>
      </c>
      <c r="F80" s="2">
        <v>64.900000000000006</v>
      </c>
      <c r="G80" s="7">
        <v>0.29429892141756547</v>
      </c>
      <c r="H80" s="2">
        <v>53.537999999999997</v>
      </c>
      <c r="I80" s="3" t="s">
        <v>165</v>
      </c>
      <c r="J80" s="3">
        <v>64.849999999999994</v>
      </c>
      <c r="K80" s="3">
        <v>59.643999999999998</v>
      </c>
      <c r="L80" s="3">
        <v>1.0872845550264905</v>
      </c>
      <c r="M80" s="2">
        <v>443.05761199999995</v>
      </c>
      <c r="N80" s="2">
        <v>273.54349500000006</v>
      </c>
      <c r="O80" s="2">
        <v>169.51407600000005</v>
      </c>
      <c r="P80" s="2">
        <v>313.33782000000002</v>
      </c>
      <c r="Q80" s="2">
        <v>153.24117900000005</v>
      </c>
      <c r="R80" s="2">
        <v>160.0966</v>
      </c>
      <c r="S80" s="2">
        <v>1.4139934081369427</v>
      </c>
      <c r="T80" s="2">
        <v>12</v>
      </c>
      <c r="U80" s="2">
        <v>6</v>
      </c>
      <c r="V80" s="2">
        <v>2</v>
      </c>
      <c r="W80" s="2">
        <v>20</v>
      </c>
      <c r="X80" s="2">
        <v>5</v>
      </c>
      <c r="Y80" s="2">
        <v>1</v>
      </c>
      <c r="Z80" s="2">
        <v>0</v>
      </c>
      <c r="AA80" s="2">
        <v>6</v>
      </c>
      <c r="AB80" s="2">
        <v>0.3</v>
      </c>
      <c r="AC80" s="11">
        <f t="shared" si="2"/>
        <v>1.9987220368365668</v>
      </c>
    </row>
    <row r="81" spans="1:29" ht="17">
      <c r="A81" s="3" t="s">
        <v>119</v>
      </c>
      <c r="B81" s="3">
        <v>1480</v>
      </c>
      <c r="C81" s="3" t="s">
        <v>120</v>
      </c>
      <c r="D81" s="3">
        <v>601</v>
      </c>
      <c r="E81" s="3" t="s">
        <v>178</v>
      </c>
      <c r="F81" s="3">
        <v>2.25</v>
      </c>
      <c r="G81" s="7">
        <v>267.11111111111109</v>
      </c>
      <c r="H81" s="2">
        <v>25.981000000000002</v>
      </c>
      <c r="I81" s="3" t="s">
        <v>163</v>
      </c>
      <c r="J81" s="7">
        <v>48.484000000000002</v>
      </c>
      <c r="K81" s="7">
        <v>47.137</v>
      </c>
      <c r="L81" s="7">
        <f t="shared" ref="L81" si="3">J81/K81</f>
        <v>1.0285762776587395</v>
      </c>
      <c r="M81" s="2">
        <v>497.53826999999995</v>
      </c>
      <c r="N81" s="2">
        <v>239.94313700000006</v>
      </c>
      <c r="O81" s="2">
        <v>257.59497199999998</v>
      </c>
      <c r="P81" s="2">
        <v>539.15123300000005</v>
      </c>
      <c r="Q81" s="2">
        <v>297.34429000000006</v>
      </c>
      <c r="R81" s="2">
        <v>241.80690300000003</v>
      </c>
      <c r="S81" s="2">
        <v>0.92281764289315815</v>
      </c>
      <c r="T81" s="2">
        <v>14</v>
      </c>
      <c r="U81" s="2">
        <v>0</v>
      </c>
      <c r="V81" s="2">
        <v>0</v>
      </c>
      <c r="W81" s="2">
        <v>14</v>
      </c>
      <c r="X81" s="2">
        <v>12</v>
      </c>
      <c r="Y81" s="2">
        <v>4</v>
      </c>
      <c r="Z81" s="2">
        <v>0</v>
      </c>
      <c r="AA81" s="2">
        <v>16</v>
      </c>
      <c r="AB81" s="2">
        <v>1.1428571428571428</v>
      </c>
      <c r="AC81" s="11">
        <f t="shared" si="2"/>
        <v>2.751384222377276</v>
      </c>
    </row>
    <row r="82" spans="1:29" ht="17">
      <c r="A82" s="3" t="s">
        <v>119</v>
      </c>
      <c r="B82" s="3">
        <v>1480</v>
      </c>
      <c r="C82" s="3" t="s">
        <v>121</v>
      </c>
      <c r="D82" s="3">
        <v>2060</v>
      </c>
      <c r="E82" s="3" t="s">
        <v>179</v>
      </c>
      <c r="F82" s="2">
        <v>1.66</v>
      </c>
      <c r="G82" s="7">
        <v>891.56626506024099</v>
      </c>
      <c r="H82" s="2">
        <v>37.536999999999999</v>
      </c>
      <c r="I82" s="3" t="s">
        <v>183</v>
      </c>
      <c r="J82" s="7">
        <v>84.430999999999997</v>
      </c>
      <c r="K82" s="7">
        <v>82.947999999999993</v>
      </c>
      <c r="L82" s="7">
        <f>J82/K82</f>
        <v>1.0178786709745866</v>
      </c>
      <c r="M82" s="2">
        <v>497.53826999999995</v>
      </c>
      <c r="N82" s="2">
        <v>239.94313700000006</v>
      </c>
      <c r="O82" s="2">
        <v>257.59497199999998</v>
      </c>
      <c r="P82" s="2">
        <v>411.8296180000001</v>
      </c>
      <c r="Q82" s="2">
        <v>235.11411600000005</v>
      </c>
      <c r="R82" s="2">
        <v>176.71553800000004</v>
      </c>
      <c r="S82" s="2">
        <v>1.2081167751271349</v>
      </c>
      <c r="T82" s="2">
        <v>14</v>
      </c>
      <c r="U82" s="2">
        <v>0</v>
      </c>
      <c r="V82" s="2">
        <v>0</v>
      </c>
      <c r="W82" s="2">
        <v>14</v>
      </c>
      <c r="X82" s="2">
        <v>9</v>
      </c>
      <c r="Y82" s="2">
        <v>3</v>
      </c>
      <c r="Z82" s="2">
        <v>2</v>
      </c>
      <c r="AA82" s="2">
        <v>14</v>
      </c>
      <c r="AB82" s="2">
        <v>1</v>
      </c>
      <c r="AC82" s="11">
        <f t="shared" si="2"/>
        <v>2.7740045538982785</v>
      </c>
    </row>
    <row r="83" spans="1:29" ht="17">
      <c r="A83" s="3" t="s">
        <v>123</v>
      </c>
      <c r="B83" s="3">
        <v>100</v>
      </c>
      <c r="C83" s="3" t="s">
        <v>124</v>
      </c>
      <c r="D83" s="3">
        <v>105</v>
      </c>
      <c r="E83" s="3" t="s">
        <v>180</v>
      </c>
      <c r="F83" s="2">
        <v>3.7</v>
      </c>
      <c r="G83" s="7">
        <v>27.027027027027025</v>
      </c>
      <c r="H83" s="2">
        <v>5.9850000000000003</v>
      </c>
      <c r="I83" s="3" t="s">
        <v>165</v>
      </c>
      <c r="J83" s="7">
        <v>64.849999999999994</v>
      </c>
      <c r="K83" s="7">
        <v>62.48</v>
      </c>
      <c r="L83" s="7">
        <f t="shared" ref="L83:L87" si="4">J83/K83</f>
        <v>1.037932138284251</v>
      </c>
      <c r="M83" s="2">
        <v>462.43215500000002</v>
      </c>
      <c r="N83" s="2">
        <v>239.18309600000001</v>
      </c>
      <c r="O83" s="2">
        <v>223.24905699999997</v>
      </c>
      <c r="P83" s="2">
        <v>530.66215899999997</v>
      </c>
      <c r="Q83" s="2">
        <v>330.95660999999996</v>
      </c>
      <c r="R83" s="2">
        <v>199.70535100000001</v>
      </c>
      <c r="S83" s="2">
        <v>0.87142477969679399</v>
      </c>
      <c r="T83" s="2">
        <v>15</v>
      </c>
      <c r="U83" s="2">
        <v>5</v>
      </c>
      <c r="V83" s="2">
        <v>0</v>
      </c>
      <c r="W83" s="2">
        <v>20</v>
      </c>
      <c r="X83" s="2">
        <v>14</v>
      </c>
      <c r="Y83" s="2">
        <v>7</v>
      </c>
      <c r="Z83" s="2">
        <v>4</v>
      </c>
      <c r="AA83" s="2">
        <v>25</v>
      </c>
      <c r="AB83" s="2">
        <v>1.25</v>
      </c>
      <c r="AC83" s="11">
        <f t="shared" si="2"/>
        <v>2.5834926414125432</v>
      </c>
    </row>
    <row r="84" spans="1:29" ht="17">
      <c r="A84" s="3" t="s">
        <v>125</v>
      </c>
      <c r="B84" s="3">
        <v>4370</v>
      </c>
      <c r="C84" s="3" t="s">
        <v>122</v>
      </c>
      <c r="D84" s="3">
        <v>921</v>
      </c>
      <c r="E84" s="3" t="s">
        <v>176</v>
      </c>
      <c r="F84" s="2">
        <v>140</v>
      </c>
      <c r="G84" s="7">
        <v>6.5785714285714283</v>
      </c>
      <c r="H84" s="2">
        <v>37.963000000000001</v>
      </c>
      <c r="I84" s="3" t="s">
        <v>184</v>
      </c>
      <c r="J84" s="7">
        <v>56.567</v>
      </c>
      <c r="K84" s="7">
        <v>52.018999999999998</v>
      </c>
      <c r="L84" s="7">
        <f t="shared" si="4"/>
        <v>1.0874295930333149</v>
      </c>
      <c r="M84" s="2">
        <v>506.43552499999987</v>
      </c>
      <c r="N84" s="2">
        <v>259.91992799999997</v>
      </c>
      <c r="O84" s="2">
        <v>246.51551700000005</v>
      </c>
      <c r="P84" s="2">
        <v>414.92451099999994</v>
      </c>
      <c r="Q84" s="2">
        <v>301.91507500000006</v>
      </c>
      <c r="R84" s="2">
        <v>113.009351</v>
      </c>
      <c r="S84" s="2">
        <v>1.2205485855233074</v>
      </c>
      <c r="T84" s="2">
        <v>16</v>
      </c>
      <c r="U84" s="2">
        <v>0</v>
      </c>
      <c r="V84" s="2">
        <v>0</v>
      </c>
      <c r="W84" s="2">
        <v>16</v>
      </c>
      <c r="X84" s="2">
        <v>14</v>
      </c>
      <c r="Y84" s="2">
        <v>3</v>
      </c>
      <c r="Z84" s="2">
        <v>0</v>
      </c>
      <c r="AA84" s="2">
        <v>17</v>
      </c>
      <c r="AB84" s="2">
        <v>1.0625</v>
      </c>
      <c r="AC84" s="11">
        <f t="shared" si="2"/>
        <v>2.6295218214433778</v>
      </c>
    </row>
    <row r="85" spans="1:29" ht="17">
      <c r="A85" s="3" t="s">
        <v>125</v>
      </c>
      <c r="B85" s="3">
        <v>4370</v>
      </c>
      <c r="C85" s="3" t="s">
        <v>121</v>
      </c>
      <c r="D85" s="3">
        <v>2060</v>
      </c>
      <c r="E85" s="3" t="s">
        <v>177</v>
      </c>
      <c r="F85" s="3">
        <v>1540</v>
      </c>
      <c r="G85" s="7">
        <v>1.3376623376623376</v>
      </c>
      <c r="H85" s="2">
        <v>34.478999999999999</v>
      </c>
      <c r="I85" s="3" t="s">
        <v>158</v>
      </c>
      <c r="J85" s="7">
        <v>82.206000000000003</v>
      </c>
      <c r="K85" s="7">
        <v>79.210999999999999</v>
      </c>
      <c r="L85" s="7">
        <f t="shared" si="4"/>
        <v>1.037810405120501</v>
      </c>
      <c r="M85" s="2">
        <v>506.43552499999987</v>
      </c>
      <c r="N85" s="2">
        <v>259.91992799999997</v>
      </c>
      <c r="O85" s="2">
        <v>246.51551700000005</v>
      </c>
      <c r="P85" s="2">
        <v>411.8296180000001</v>
      </c>
      <c r="Q85" s="2">
        <v>235.11411600000005</v>
      </c>
      <c r="R85" s="2">
        <v>176.71553800000004</v>
      </c>
      <c r="S85" s="2">
        <v>1.2297209886443858</v>
      </c>
      <c r="T85" s="2">
        <v>16</v>
      </c>
      <c r="U85" s="2">
        <v>0</v>
      </c>
      <c r="V85" s="2">
        <v>0</v>
      </c>
      <c r="W85" s="2">
        <v>16</v>
      </c>
      <c r="X85" s="2">
        <v>9</v>
      </c>
      <c r="Y85" s="2">
        <v>3</v>
      </c>
      <c r="Z85" s="2">
        <v>2</v>
      </c>
      <c r="AA85" s="2">
        <v>14</v>
      </c>
      <c r="AB85" s="2">
        <v>0.875</v>
      </c>
      <c r="AC85" s="11">
        <f t="shared" si="2"/>
        <v>2.6074686062351131</v>
      </c>
    </row>
    <row r="86" spans="1:29" ht="17">
      <c r="A86" s="3" t="s">
        <v>141</v>
      </c>
      <c r="B86" s="3">
        <v>138</v>
      </c>
      <c r="C86" s="3" t="s">
        <v>143</v>
      </c>
      <c r="D86" s="3">
        <v>99.5</v>
      </c>
      <c r="E86" s="3" t="s">
        <v>181</v>
      </c>
      <c r="F86" s="2">
        <v>19.2</v>
      </c>
      <c r="G86" s="7">
        <v>5.182291666666667</v>
      </c>
      <c r="H86" s="2">
        <v>6.0439999999999996</v>
      </c>
      <c r="I86" s="3" t="s">
        <v>163</v>
      </c>
      <c r="J86" s="7">
        <v>48.484000000000002</v>
      </c>
      <c r="K86" s="7">
        <v>46.444000000000003</v>
      </c>
      <c r="L86" s="7">
        <f t="shared" si="4"/>
        <v>1.0439238653001464</v>
      </c>
      <c r="M86" s="2">
        <v>401.78200400000003</v>
      </c>
      <c r="N86" s="2">
        <v>220.08053999999998</v>
      </c>
      <c r="O86" s="2">
        <v>181.70129399999999</v>
      </c>
      <c r="P86" s="2">
        <v>355.54163900000003</v>
      </c>
      <c r="Q86" s="2">
        <v>93.098927000000018</v>
      </c>
      <c r="R86" s="2">
        <v>262.44285100000008</v>
      </c>
      <c r="S86" s="2">
        <v>1.130056116999562</v>
      </c>
      <c r="T86" s="2">
        <v>12</v>
      </c>
      <c r="U86" s="2">
        <v>5</v>
      </c>
      <c r="V86" s="2">
        <v>0</v>
      </c>
      <c r="W86" s="2">
        <v>17</v>
      </c>
      <c r="X86" s="2">
        <v>5</v>
      </c>
      <c r="Y86" s="2">
        <v>9</v>
      </c>
      <c r="Z86" s="2">
        <v>0</v>
      </c>
      <c r="AA86" s="2">
        <v>14</v>
      </c>
      <c r="AB86" s="2">
        <v>0.82352941176470584</v>
      </c>
      <c r="AC86" s="11">
        <f t="shared" si="2"/>
        <v>2.6495494294649973</v>
      </c>
    </row>
    <row r="87" spans="1:29" ht="17">
      <c r="A87" s="3" t="s">
        <v>149</v>
      </c>
      <c r="B87" s="3">
        <v>220</v>
      </c>
      <c r="C87" s="3" t="s">
        <v>142</v>
      </c>
      <c r="D87" s="3">
        <v>1470</v>
      </c>
      <c r="E87" s="3" t="s">
        <v>65</v>
      </c>
      <c r="F87" s="2">
        <v>2.7</v>
      </c>
      <c r="G87" s="7">
        <v>81.481481481481481</v>
      </c>
      <c r="H87" s="2">
        <v>31.024000000000001</v>
      </c>
      <c r="I87" s="6" t="s">
        <v>184</v>
      </c>
      <c r="J87" s="7">
        <v>56.567</v>
      </c>
      <c r="K87" s="7">
        <v>55.347999999999999</v>
      </c>
      <c r="L87" s="7">
        <f t="shared" si="4"/>
        <v>1.0220242827202428</v>
      </c>
      <c r="M87" s="2">
        <v>489.53467200000006</v>
      </c>
      <c r="N87" s="2">
        <v>159.10767099999998</v>
      </c>
      <c r="O87" s="2">
        <v>330.42694800000004</v>
      </c>
      <c r="P87" s="2">
        <v>479.61241899999999</v>
      </c>
      <c r="Q87" s="2">
        <v>138.09142900000001</v>
      </c>
      <c r="R87" s="2">
        <v>341.52099600000003</v>
      </c>
      <c r="S87" s="2">
        <v>1.0206880652104215</v>
      </c>
      <c r="T87" s="2">
        <v>7</v>
      </c>
      <c r="U87" s="2">
        <v>7</v>
      </c>
      <c r="V87" s="2">
        <v>0</v>
      </c>
      <c r="W87" s="2">
        <v>14</v>
      </c>
      <c r="X87" s="2">
        <v>8</v>
      </c>
      <c r="Y87" s="2">
        <v>3</v>
      </c>
      <c r="Z87" s="2">
        <v>0</v>
      </c>
      <c r="AA87" s="2">
        <v>11</v>
      </c>
      <c r="AB87" s="2">
        <v>0.7857142857142857</v>
      </c>
      <c r="AC87" s="11">
        <f t="shared" si="2"/>
        <v>2.7430019377836214</v>
      </c>
    </row>
    <row r="88" spans="1:29" ht="17">
      <c r="A88" s="2" t="s">
        <v>185</v>
      </c>
      <c r="B88" s="2">
        <v>1750</v>
      </c>
      <c r="C88" s="2" t="s">
        <v>186</v>
      </c>
      <c r="D88" s="2">
        <v>66.099999999999994</v>
      </c>
      <c r="E88" s="2" t="s">
        <v>187</v>
      </c>
      <c r="F88" s="2">
        <v>18.399999999999999</v>
      </c>
      <c r="G88" s="2">
        <v>3.5923913043478302</v>
      </c>
      <c r="H88" s="9">
        <v>23.481999999999999</v>
      </c>
      <c r="I88" s="2" t="s">
        <v>157</v>
      </c>
      <c r="J88" s="2">
        <v>72</v>
      </c>
      <c r="K88" s="9">
        <v>66.914000000000001</v>
      </c>
      <c r="L88" s="9">
        <v>1.0760080102818543</v>
      </c>
      <c r="M88" s="9">
        <v>171.45177000000001</v>
      </c>
      <c r="N88" s="9">
        <v>110.238232</v>
      </c>
      <c r="O88" s="9">
        <v>61.213506000000002</v>
      </c>
      <c r="P88" s="10">
        <v>401.37350800000002</v>
      </c>
      <c r="Q88" s="10">
        <v>213.85547299999999</v>
      </c>
      <c r="R88" s="10">
        <v>187.518067</v>
      </c>
      <c r="S88" s="9">
        <v>0.42716264671857718</v>
      </c>
      <c r="T88" s="9">
        <v>3</v>
      </c>
      <c r="U88" s="9">
        <v>1</v>
      </c>
      <c r="V88" s="9">
        <v>2</v>
      </c>
      <c r="W88" s="9">
        <v>6</v>
      </c>
      <c r="X88" s="9">
        <v>3</v>
      </c>
      <c r="Y88" s="9">
        <v>3</v>
      </c>
      <c r="Z88" s="9">
        <v>2</v>
      </c>
      <c r="AA88" s="9">
        <v>8</v>
      </c>
      <c r="AB88" s="9">
        <v>1.3333333333333333</v>
      </c>
      <c r="AC88" s="11">
        <f t="shared" si="2"/>
        <v>2.0906586563848126</v>
      </c>
    </row>
    <row r="89" spans="1:29" ht="17">
      <c r="A89" s="2" t="s">
        <v>119</v>
      </c>
      <c r="B89" s="2">
        <v>1480</v>
      </c>
      <c r="C89" s="2" t="s">
        <v>120</v>
      </c>
      <c r="D89" s="2">
        <v>601</v>
      </c>
      <c r="E89" s="2" t="s">
        <v>188</v>
      </c>
      <c r="F89" s="2">
        <v>55.4</v>
      </c>
      <c r="G89" s="2">
        <v>10.848375451263538</v>
      </c>
      <c r="H89" s="9">
        <v>-5.5229999999999997</v>
      </c>
      <c r="I89" s="2" t="s">
        <v>157</v>
      </c>
      <c r="J89" s="2">
        <v>72</v>
      </c>
      <c r="K89" s="9">
        <v>33.145000000000003</v>
      </c>
      <c r="L89" s="9">
        <v>2.1722733443958364</v>
      </c>
      <c r="M89" s="10">
        <v>308.80267300000003</v>
      </c>
      <c r="N89" s="10">
        <v>201.33283900000001</v>
      </c>
      <c r="O89" s="10">
        <v>107.46975</v>
      </c>
      <c r="P89" s="10">
        <v>541.30428400000005</v>
      </c>
      <c r="Q89" s="10">
        <v>264.874482</v>
      </c>
      <c r="R89" s="10">
        <v>276.42980499999999</v>
      </c>
      <c r="S89" s="9">
        <v>0.57047890092072506</v>
      </c>
      <c r="T89" s="9">
        <v>3</v>
      </c>
      <c r="U89" s="9">
        <v>7</v>
      </c>
      <c r="V89" s="9">
        <v>4</v>
      </c>
      <c r="W89" s="9">
        <v>14</v>
      </c>
      <c r="X89" s="9">
        <v>6</v>
      </c>
      <c r="Y89" s="9">
        <v>11</v>
      </c>
      <c r="Z89" s="9">
        <v>4</v>
      </c>
      <c r="AA89" s="9">
        <v>21</v>
      </c>
      <c r="AB89" s="9">
        <v>1.5</v>
      </c>
      <c r="AC89" s="11">
        <f t="shared" si="2"/>
        <v>1.0704789009207252</v>
      </c>
    </row>
    <row r="90" spans="1:29" ht="17">
      <c r="A90" s="2" t="s">
        <v>119</v>
      </c>
      <c r="B90" s="2">
        <v>1480</v>
      </c>
      <c r="C90" s="2" t="s">
        <v>121</v>
      </c>
      <c r="D90" s="2">
        <v>2060</v>
      </c>
      <c r="E90" s="2" t="s">
        <v>189</v>
      </c>
      <c r="F90" s="2">
        <v>5.04</v>
      </c>
      <c r="G90" s="2">
        <v>293.65079365079401</v>
      </c>
      <c r="H90" s="9">
        <v>14.73</v>
      </c>
      <c r="I90" s="2" t="s">
        <v>157</v>
      </c>
      <c r="J90" s="2">
        <v>72</v>
      </c>
      <c r="K90" s="9">
        <v>54.209000000000003</v>
      </c>
      <c r="L90" s="9">
        <v>1.3281927355236214</v>
      </c>
      <c r="M90" s="10">
        <v>308.80267300000003</v>
      </c>
      <c r="N90" s="10">
        <v>201.33283900000001</v>
      </c>
      <c r="O90" s="10">
        <v>107.46975</v>
      </c>
      <c r="P90" s="10">
        <v>320.9597</v>
      </c>
      <c r="Q90" s="10">
        <v>180.52893700000001</v>
      </c>
      <c r="R90" s="10">
        <v>140.43079800000001</v>
      </c>
      <c r="S90" s="9">
        <v>0.96212288645583866</v>
      </c>
      <c r="T90" s="9">
        <v>3</v>
      </c>
      <c r="U90" s="9">
        <v>7</v>
      </c>
      <c r="V90" s="9">
        <v>4</v>
      </c>
      <c r="W90" s="9">
        <v>14</v>
      </c>
      <c r="X90" s="10">
        <v>2</v>
      </c>
      <c r="Y90" s="10">
        <v>14</v>
      </c>
      <c r="Z90" s="10">
        <v>1</v>
      </c>
      <c r="AA90" s="10">
        <v>17</v>
      </c>
      <c r="AB90" s="9">
        <v>1.2142857142857142</v>
      </c>
      <c r="AC90" s="11">
        <f t="shared" si="2"/>
        <v>2.4196444366465029</v>
      </c>
    </row>
    <row r="91" spans="1:29" ht="17">
      <c r="A91" s="2" t="s">
        <v>119</v>
      </c>
      <c r="B91" s="2">
        <v>1480</v>
      </c>
      <c r="C91" s="2" t="s">
        <v>122</v>
      </c>
      <c r="D91" s="2">
        <v>921</v>
      </c>
      <c r="E91" s="2" t="s">
        <v>190</v>
      </c>
      <c r="F91" s="2">
        <v>97.9</v>
      </c>
      <c r="G91" s="2">
        <v>9.4075587334014301</v>
      </c>
      <c r="H91" s="9">
        <v>27.146000000000001</v>
      </c>
      <c r="I91" s="2" t="s">
        <v>157</v>
      </c>
      <c r="J91" s="2">
        <v>72</v>
      </c>
      <c r="K91" s="9">
        <v>16.439</v>
      </c>
      <c r="L91" s="9">
        <v>4.3798284567187782</v>
      </c>
      <c r="M91" s="10">
        <v>308.80267300000003</v>
      </c>
      <c r="N91" s="10">
        <v>201.33283900000001</v>
      </c>
      <c r="O91" s="10">
        <v>107.46975</v>
      </c>
      <c r="P91" s="10">
        <v>268.55290300000001</v>
      </c>
      <c r="Q91" s="10">
        <v>185.45786000000001</v>
      </c>
      <c r="R91" s="10">
        <v>83.095070000000007</v>
      </c>
      <c r="S91" s="9">
        <v>1.1498765031037479</v>
      </c>
      <c r="T91" s="9">
        <v>3</v>
      </c>
      <c r="U91" s="9">
        <v>7</v>
      </c>
      <c r="V91" s="9">
        <v>4</v>
      </c>
      <c r="W91" s="9">
        <v>14</v>
      </c>
      <c r="X91" s="10">
        <v>3</v>
      </c>
      <c r="Y91" s="10">
        <v>1</v>
      </c>
      <c r="Z91" s="10">
        <v>2</v>
      </c>
      <c r="AA91" s="10">
        <v>6</v>
      </c>
      <c r="AB91" s="9">
        <v>0.42857142857142855</v>
      </c>
      <c r="AC91" s="11">
        <f t="shared" si="2"/>
        <v>1.3501234968962521</v>
      </c>
    </row>
    <row r="92" spans="1:29" ht="17">
      <c r="A92" s="2" t="s">
        <v>123</v>
      </c>
      <c r="B92" s="2">
        <v>100</v>
      </c>
      <c r="C92" s="2" t="s">
        <v>124</v>
      </c>
      <c r="D92" s="2">
        <v>105</v>
      </c>
      <c r="E92" s="2" t="s">
        <v>191</v>
      </c>
      <c r="F92" s="2">
        <v>9.7200000000000006</v>
      </c>
      <c r="G92" s="2">
        <v>10.288065843621398</v>
      </c>
      <c r="H92" s="9">
        <v>-5.258</v>
      </c>
      <c r="I92" s="2" t="s">
        <v>157</v>
      </c>
      <c r="J92" s="2">
        <v>72</v>
      </c>
      <c r="K92" s="9">
        <v>35.959000000000003</v>
      </c>
      <c r="L92" s="9">
        <v>2.0022803748713813</v>
      </c>
      <c r="M92" s="10">
        <v>509.061894</v>
      </c>
      <c r="N92" s="10">
        <v>304.09381500000001</v>
      </c>
      <c r="O92" s="10">
        <v>204.96811299999999</v>
      </c>
      <c r="P92" s="10">
        <v>404.02995700000002</v>
      </c>
      <c r="Q92" s="10">
        <v>219.08395200000001</v>
      </c>
      <c r="R92" s="10">
        <v>184.94590600000001</v>
      </c>
      <c r="S92" s="9">
        <v>1.2599607657310419</v>
      </c>
      <c r="T92" s="10">
        <v>6</v>
      </c>
      <c r="U92" s="10">
        <v>11</v>
      </c>
      <c r="V92" s="10">
        <v>4</v>
      </c>
      <c r="W92" s="9">
        <v>21</v>
      </c>
      <c r="X92" s="10">
        <v>4</v>
      </c>
      <c r="Y92" s="10">
        <v>8</v>
      </c>
      <c r="Z92" s="10">
        <v>5</v>
      </c>
      <c r="AA92" s="9">
        <v>17</v>
      </c>
      <c r="AB92" s="9">
        <v>0.80952380952380953</v>
      </c>
      <c r="AC92" s="11">
        <f t="shared" si="2"/>
        <v>1.5495630437927677</v>
      </c>
    </row>
    <row r="93" spans="1:29" ht="17">
      <c r="A93" s="2" t="s">
        <v>123</v>
      </c>
      <c r="B93" s="2">
        <v>100</v>
      </c>
      <c r="C93" s="2" t="s">
        <v>192</v>
      </c>
      <c r="D93" s="2">
        <v>497</v>
      </c>
      <c r="E93" s="2" t="s">
        <v>193</v>
      </c>
      <c r="F93" s="2">
        <v>55.2</v>
      </c>
      <c r="G93" s="2">
        <v>1.8115942028985506</v>
      </c>
      <c r="H93" s="9">
        <v>2.2519999999999998</v>
      </c>
      <c r="I93" s="2" t="s">
        <v>157</v>
      </c>
      <c r="J93" s="2">
        <v>72</v>
      </c>
      <c r="K93" s="9">
        <v>51.399000000000001</v>
      </c>
      <c r="L93" s="9">
        <v>1.4008054631413063</v>
      </c>
      <c r="M93" s="10">
        <v>509.061894</v>
      </c>
      <c r="N93" s="10">
        <v>304.09381500000001</v>
      </c>
      <c r="O93" s="10">
        <v>204.96811299999999</v>
      </c>
      <c r="P93" s="10">
        <v>514.78644799999995</v>
      </c>
      <c r="Q93" s="10">
        <v>268.82490200000001</v>
      </c>
      <c r="R93" s="10">
        <v>245.96151399999999</v>
      </c>
      <c r="S93" s="9">
        <v>0.98887974999683759</v>
      </c>
      <c r="T93" s="10">
        <v>6</v>
      </c>
      <c r="U93" s="10">
        <v>11</v>
      </c>
      <c r="V93" s="10">
        <v>4</v>
      </c>
      <c r="W93" s="9">
        <v>21</v>
      </c>
      <c r="X93" s="10">
        <v>9</v>
      </c>
      <c r="Y93" s="10">
        <v>4</v>
      </c>
      <c r="Z93" s="10">
        <v>2</v>
      </c>
      <c r="AA93" s="9">
        <v>15</v>
      </c>
      <c r="AB93" s="9">
        <v>0.7142857142857143</v>
      </c>
      <c r="AC93" s="11">
        <f t="shared" si="2"/>
        <v>2.3023600011412455</v>
      </c>
    </row>
    <row r="94" spans="1:29" ht="17">
      <c r="A94" s="2" t="s">
        <v>123</v>
      </c>
      <c r="B94" s="2">
        <v>100</v>
      </c>
      <c r="C94" s="2" t="s">
        <v>194</v>
      </c>
      <c r="D94" s="2">
        <v>601</v>
      </c>
      <c r="E94" s="2" t="s">
        <v>195</v>
      </c>
      <c r="F94" s="2">
        <v>26.8</v>
      </c>
      <c r="G94" s="2">
        <v>3.7313432835820897</v>
      </c>
      <c r="H94" s="9">
        <v>11.231999999999999</v>
      </c>
      <c r="I94" s="2" t="s">
        <v>157</v>
      </c>
      <c r="J94" s="2">
        <v>72</v>
      </c>
      <c r="K94" s="9">
        <v>45.908000000000001</v>
      </c>
      <c r="L94" s="9">
        <v>1.5683540995033545</v>
      </c>
      <c r="M94" s="10">
        <v>509.061894</v>
      </c>
      <c r="N94" s="10">
        <v>304.09381500000001</v>
      </c>
      <c r="O94" s="10">
        <v>204.96811299999999</v>
      </c>
      <c r="P94" s="10">
        <v>194.02388099999999</v>
      </c>
      <c r="Q94" s="10">
        <v>79.629563000000005</v>
      </c>
      <c r="R94" s="10">
        <v>114.394385</v>
      </c>
      <c r="S94" s="9">
        <v>2.6237074084710224</v>
      </c>
      <c r="T94" s="10">
        <v>6</v>
      </c>
      <c r="U94" s="10">
        <v>11</v>
      </c>
      <c r="V94" s="10">
        <v>4</v>
      </c>
      <c r="W94" s="9">
        <v>21</v>
      </c>
      <c r="X94" s="10">
        <v>1</v>
      </c>
      <c r="Y94" s="10">
        <v>2</v>
      </c>
      <c r="Z94" s="10">
        <v>1</v>
      </c>
      <c r="AA94" s="9">
        <v>4</v>
      </c>
      <c r="AB94" s="9">
        <v>0.19047619047619047</v>
      </c>
      <c r="AC94" s="11">
        <f t="shared" si="2"/>
        <v>1.4316459004966455</v>
      </c>
    </row>
    <row r="95" spans="1:29" ht="17">
      <c r="A95" s="2" t="s">
        <v>123</v>
      </c>
      <c r="B95" s="2">
        <v>100</v>
      </c>
      <c r="C95" s="2" t="s">
        <v>196</v>
      </c>
      <c r="D95" s="2">
        <v>565</v>
      </c>
      <c r="E95" s="2" t="s">
        <v>197</v>
      </c>
      <c r="F95" s="2">
        <v>35.200000000000003</v>
      </c>
      <c r="G95" s="2">
        <v>2.8409090909090908</v>
      </c>
      <c r="H95" s="9">
        <v>6.12</v>
      </c>
      <c r="I95" s="2" t="s">
        <v>157</v>
      </c>
      <c r="J95" s="2">
        <v>72</v>
      </c>
      <c r="K95" s="9">
        <v>63.408999999999999</v>
      </c>
      <c r="L95" s="9">
        <v>1.1354854989039411</v>
      </c>
      <c r="M95" s="10">
        <v>509.061894</v>
      </c>
      <c r="N95" s="10">
        <v>304.09381500000001</v>
      </c>
      <c r="O95" s="10">
        <v>204.96811299999999</v>
      </c>
      <c r="P95" s="10">
        <v>548.452405</v>
      </c>
      <c r="Q95" s="10">
        <v>272.29945600000002</v>
      </c>
      <c r="R95" s="10">
        <v>276.15266400000002</v>
      </c>
      <c r="S95" s="9">
        <v>0.92817879793963165</v>
      </c>
      <c r="T95" s="10">
        <v>6</v>
      </c>
      <c r="U95" s="10">
        <v>11</v>
      </c>
      <c r="V95" s="10">
        <v>4</v>
      </c>
      <c r="W95" s="9">
        <v>21</v>
      </c>
      <c r="X95" s="10">
        <v>9</v>
      </c>
      <c r="Y95" s="10">
        <v>6</v>
      </c>
      <c r="Z95" s="10">
        <v>1</v>
      </c>
      <c r="AA95" s="9">
        <v>16</v>
      </c>
      <c r="AB95" s="9">
        <v>0.76190476190476186</v>
      </c>
      <c r="AC95" s="11">
        <f t="shared" si="2"/>
        <v>2.5545980609404522</v>
      </c>
    </row>
    <row r="96" spans="1:29" ht="17">
      <c r="A96" s="2" t="s">
        <v>123</v>
      </c>
      <c r="B96" s="2">
        <v>100</v>
      </c>
      <c r="C96" s="2" t="s">
        <v>198</v>
      </c>
      <c r="D96" s="2">
        <v>225</v>
      </c>
      <c r="E96" s="2" t="s">
        <v>199</v>
      </c>
      <c r="F96" s="2">
        <v>15.7</v>
      </c>
      <c r="G96" s="2">
        <v>6.369426751592357</v>
      </c>
      <c r="H96" s="9">
        <v>31.081</v>
      </c>
      <c r="I96" s="2" t="s">
        <v>157</v>
      </c>
      <c r="J96" s="2">
        <v>72</v>
      </c>
      <c r="K96" s="9">
        <v>74.661000000000001</v>
      </c>
      <c r="L96" s="9">
        <v>0.96435890223811627</v>
      </c>
      <c r="M96" s="10">
        <v>509.061894</v>
      </c>
      <c r="N96" s="10">
        <v>304.09381500000001</v>
      </c>
      <c r="O96" s="10">
        <v>204.96811299999999</v>
      </c>
      <c r="P96" s="10">
        <v>324.99903799999998</v>
      </c>
      <c r="Q96" s="10">
        <v>195.09350000000001</v>
      </c>
      <c r="R96" s="10">
        <v>129.90543299999999</v>
      </c>
      <c r="S96" s="9">
        <v>1.5663489256235892</v>
      </c>
      <c r="T96" s="10">
        <v>6</v>
      </c>
      <c r="U96" s="10">
        <v>11</v>
      </c>
      <c r="V96" s="10">
        <v>4</v>
      </c>
      <c r="W96" s="9">
        <v>21</v>
      </c>
      <c r="X96" s="10">
        <v>5</v>
      </c>
      <c r="Y96" s="10">
        <v>3</v>
      </c>
      <c r="Z96" s="10">
        <v>2</v>
      </c>
      <c r="AA96" s="9">
        <v>10</v>
      </c>
      <c r="AB96" s="9">
        <v>0.47619047619047616</v>
      </c>
      <c r="AC96" s="11">
        <f t="shared" si="2"/>
        <v>1.9643589022381163</v>
      </c>
    </row>
    <row r="97" spans="1:29" ht="17">
      <c r="A97" s="2" t="s">
        <v>123</v>
      </c>
      <c r="B97" s="2">
        <v>100</v>
      </c>
      <c r="C97" s="2" t="s">
        <v>200</v>
      </c>
      <c r="D97" s="2">
        <v>801</v>
      </c>
      <c r="E97" s="2" t="s">
        <v>201</v>
      </c>
      <c r="F97" s="2">
        <v>158</v>
      </c>
      <c r="G97" s="2">
        <v>0.63291139240506333</v>
      </c>
      <c r="H97" s="9">
        <v>15.066000000000001</v>
      </c>
      <c r="I97" s="2" t="s">
        <v>157</v>
      </c>
      <c r="J97" s="2">
        <v>72</v>
      </c>
      <c r="K97" s="9">
        <v>72.995999999999995</v>
      </c>
      <c r="L97" s="9">
        <v>0.98635541673516358</v>
      </c>
      <c r="M97" s="10">
        <v>509.061894</v>
      </c>
      <c r="N97" s="10">
        <v>304.09381500000001</v>
      </c>
      <c r="O97" s="10">
        <v>204.96811299999999</v>
      </c>
      <c r="P97" s="10">
        <v>352.63704300000001</v>
      </c>
      <c r="Q97" s="10">
        <v>187.83172200000001</v>
      </c>
      <c r="R97" s="10">
        <v>164.805374</v>
      </c>
      <c r="S97" s="9">
        <v>1.443585987646794</v>
      </c>
      <c r="T97" s="10">
        <v>6</v>
      </c>
      <c r="U97" s="10">
        <v>11</v>
      </c>
      <c r="V97" s="10">
        <v>4</v>
      </c>
      <c r="W97" s="9">
        <v>21</v>
      </c>
      <c r="X97" s="10">
        <v>6</v>
      </c>
      <c r="Y97" s="10">
        <v>3</v>
      </c>
      <c r="Z97" s="10">
        <v>2</v>
      </c>
      <c r="AA97" s="9">
        <v>11</v>
      </c>
      <c r="AB97" s="9">
        <v>0.52380952380952384</v>
      </c>
      <c r="AC97" s="11">
        <f t="shared" si="2"/>
        <v>2.0665789528978933</v>
      </c>
    </row>
    <row r="98" spans="1:29" ht="17">
      <c r="A98" s="2" t="s">
        <v>202</v>
      </c>
      <c r="B98" s="2">
        <v>259</v>
      </c>
      <c r="C98" s="2" t="s">
        <v>203</v>
      </c>
      <c r="D98" s="2">
        <v>221</v>
      </c>
      <c r="E98" s="2" t="s">
        <v>204</v>
      </c>
      <c r="F98" s="2">
        <v>113</v>
      </c>
      <c r="G98" s="2">
        <v>1.9557522123893805</v>
      </c>
      <c r="H98" s="9">
        <v>7.7590000000000003</v>
      </c>
      <c r="I98" s="2" t="s">
        <v>157</v>
      </c>
      <c r="J98" s="2">
        <v>72</v>
      </c>
      <c r="K98" s="9">
        <v>41.021000000000001</v>
      </c>
      <c r="L98" s="9">
        <v>1.7551985568367421</v>
      </c>
      <c r="M98" s="10">
        <v>328.36152499999997</v>
      </c>
      <c r="N98" s="10">
        <v>200.67168100000001</v>
      </c>
      <c r="O98" s="10">
        <v>127.689595</v>
      </c>
      <c r="P98" s="10">
        <v>387.54889100000003</v>
      </c>
      <c r="Q98" s="10">
        <v>221.91251700000001</v>
      </c>
      <c r="R98" s="10">
        <v>165.63628199999999</v>
      </c>
      <c r="S98" s="9">
        <v>0.84727767934704257</v>
      </c>
      <c r="T98" s="10">
        <v>3</v>
      </c>
      <c r="U98" s="10">
        <v>8</v>
      </c>
      <c r="V98" s="10">
        <v>1</v>
      </c>
      <c r="W98" s="9">
        <v>12</v>
      </c>
      <c r="X98" s="10">
        <v>6</v>
      </c>
      <c r="Y98" s="10">
        <v>2</v>
      </c>
      <c r="Z98" s="10">
        <v>1</v>
      </c>
      <c r="AA98" s="9">
        <v>9</v>
      </c>
      <c r="AB98" s="9">
        <v>0.75</v>
      </c>
      <c r="AC98" s="11">
        <f t="shared" si="2"/>
        <v>1.8420791225103006</v>
      </c>
    </row>
    <row r="99" spans="1:29" ht="17">
      <c r="A99" s="2" t="s">
        <v>123</v>
      </c>
      <c r="B99" s="2">
        <v>100</v>
      </c>
      <c r="C99" s="2" t="s">
        <v>87</v>
      </c>
      <c r="D99" s="2">
        <v>0.58299999999999996</v>
      </c>
      <c r="E99" s="2" t="s">
        <v>205</v>
      </c>
      <c r="F99" s="2">
        <v>2.0699999999999998</v>
      </c>
      <c r="G99" s="2">
        <v>0.28164251207729468</v>
      </c>
      <c r="H99" s="9">
        <v>9.6210000000000004</v>
      </c>
      <c r="I99" s="2" t="s">
        <v>157</v>
      </c>
      <c r="J99" s="2">
        <v>72</v>
      </c>
      <c r="K99" s="9">
        <v>60.319000000000003</v>
      </c>
      <c r="L99" s="9">
        <v>1.1936537409439811</v>
      </c>
      <c r="M99" s="10">
        <v>509.061894</v>
      </c>
      <c r="N99" s="10">
        <v>304.09381500000001</v>
      </c>
      <c r="O99" s="10">
        <v>204.96811299999999</v>
      </c>
      <c r="P99" s="9">
        <v>467.95458200000007</v>
      </c>
      <c r="Q99" s="9">
        <v>266.86430700000005</v>
      </c>
      <c r="R99" s="9">
        <v>201.09016000000003</v>
      </c>
      <c r="S99" s="9">
        <v>1.0878446618137825</v>
      </c>
      <c r="T99" s="10">
        <v>6</v>
      </c>
      <c r="U99" s="10">
        <v>11</v>
      </c>
      <c r="V99" s="10">
        <v>4</v>
      </c>
      <c r="W99" s="9">
        <v>21</v>
      </c>
      <c r="X99" s="9">
        <v>9</v>
      </c>
      <c r="Y99" s="9">
        <v>4</v>
      </c>
      <c r="Z99" s="9">
        <v>1</v>
      </c>
      <c r="AA99" s="9">
        <v>14</v>
      </c>
      <c r="AB99" s="9">
        <v>0.66666666666666663</v>
      </c>
      <c r="AC99" s="11">
        <f t="shared" si="2"/>
        <v>2.3851682639089029</v>
      </c>
    </row>
    <row r="100" spans="1:29" ht="17">
      <c r="A100" s="2" t="s">
        <v>123</v>
      </c>
      <c r="B100" s="2">
        <v>100</v>
      </c>
      <c r="C100" s="2" t="s">
        <v>185</v>
      </c>
      <c r="D100" s="2">
        <v>1750</v>
      </c>
      <c r="E100" s="2" t="s">
        <v>206</v>
      </c>
      <c r="F100" s="2">
        <v>109</v>
      </c>
      <c r="G100" s="2">
        <v>0.91743119266055051</v>
      </c>
      <c r="H100" s="9">
        <v>11.367000000000001</v>
      </c>
      <c r="I100" s="2" t="s">
        <v>157</v>
      </c>
      <c r="J100" s="2">
        <v>72</v>
      </c>
      <c r="K100" s="9">
        <v>31.901</v>
      </c>
      <c r="L100" s="9">
        <v>2.2569825397322969</v>
      </c>
      <c r="M100" s="10">
        <v>509.061894</v>
      </c>
      <c r="N100" s="10">
        <v>304.09381500000001</v>
      </c>
      <c r="O100" s="10">
        <v>204.96811299999999</v>
      </c>
      <c r="P100" s="9">
        <v>171.45177000000001</v>
      </c>
      <c r="Q100" s="9">
        <v>110.238232</v>
      </c>
      <c r="R100" s="9">
        <v>61.213506000000002</v>
      </c>
      <c r="S100" s="9">
        <v>2.9691259180351417</v>
      </c>
      <c r="T100" s="10">
        <v>6</v>
      </c>
      <c r="U100" s="10">
        <v>11</v>
      </c>
      <c r="V100" s="10">
        <v>4</v>
      </c>
      <c r="W100" s="9">
        <v>21</v>
      </c>
      <c r="X100" s="9">
        <v>3</v>
      </c>
      <c r="Y100" s="9">
        <v>1</v>
      </c>
      <c r="Z100" s="9">
        <v>2</v>
      </c>
      <c r="AA100" s="9">
        <v>6</v>
      </c>
      <c r="AB100" s="9">
        <v>0.2857142857142857</v>
      </c>
      <c r="AC100" s="11">
        <f t="shared" ref="AC100:AC103" si="5">(1-MIN(ABS(L100-1),1))+(1-MIN(ABS(S100-1),0.5))+(1-MIN(ABS(AB100-1),0.5))</f>
        <v>1</v>
      </c>
    </row>
    <row r="101" spans="1:29" ht="17">
      <c r="A101" s="2" t="s">
        <v>202</v>
      </c>
      <c r="B101" s="2">
        <v>259</v>
      </c>
      <c r="C101" s="2" t="s">
        <v>125</v>
      </c>
      <c r="D101" s="2">
        <v>4370</v>
      </c>
      <c r="E101" s="2" t="s">
        <v>207</v>
      </c>
      <c r="F101" s="2">
        <v>74.099999999999994</v>
      </c>
      <c r="G101" s="2">
        <v>3.4952766531713904</v>
      </c>
      <c r="H101" s="9">
        <v>-7.633</v>
      </c>
      <c r="I101" s="2" t="s">
        <v>157</v>
      </c>
      <c r="J101" s="2">
        <v>72</v>
      </c>
      <c r="K101" s="9">
        <v>23.245999999999999</v>
      </c>
      <c r="L101" s="9">
        <v>3.0973070635808311</v>
      </c>
      <c r="M101" s="10">
        <v>328.36152499999997</v>
      </c>
      <c r="N101" s="10">
        <v>200.67168100000001</v>
      </c>
      <c r="O101" s="10">
        <v>127.689595</v>
      </c>
      <c r="P101" s="9">
        <v>167.93623199999999</v>
      </c>
      <c r="Q101" s="9">
        <v>97.028190999999993</v>
      </c>
      <c r="R101" s="9">
        <v>70.907809999999998</v>
      </c>
      <c r="S101" s="9">
        <v>1.95527505345005</v>
      </c>
      <c r="T101" s="10">
        <v>3</v>
      </c>
      <c r="U101" s="10">
        <v>8</v>
      </c>
      <c r="V101" s="10">
        <v>1</v>
      </c>
      <c r="W101" s="9">
        <v>12</v>
      </c>
      <c r="X101" s="9">
        <v>2</v>
      </c>
      <c r="Y101" s="9">
        <v>0</v>
      </c>
      <c r="Z101" s="9">
        <v>0</v>
      </c>
      <c r="AA101" s="9">
        <v>2</v>
      </c>
      <c r="AB101" s="9">
        <v>0.16666666699999999</v>
      </c>
      <c r="AC101" s="11">
        <f t="shared" si="5"/>
        <v>1</v>
      </c>
    </row>
    <row r="102" spans="1:29" ht="17">
      <c r="A102" s="2" t="s">
        <v>125</v>
      </c>
      <c r="B102" s="2">
        <v>4370</v>
      </c>
      <c r="C102" s="2" t="s">
        <v>122</v>
      </c>
      <c r="D102" s="2">
        <v>921</v>
      </c>
      <c r="E102" s="2" t="s">
        <v>208</v>
      </c>
      <c r="F102" s="2">
        <v>66.400000000000006</v>
      </c>
      <c r="G102" s="2">
        <v>13.870481927710841</v>
      </c>
      <c r="H102" s="9">
        <v>38.121000000000002</v>
      </c>
      <c r="I102" s="2" t="s">
        <v>157</v>
      </c>
      <c r="J102" s="2">
        <v>72</v>
      </c>
      <c r="K102" s="9">
        <v>52.271000000000001</v>
      </c>
      <c r="L102" s="9">
        <v>1.3774368196514319</v>
      </c>
      <c r="M102" s="9">
        <v>167.93623199999999</v>
      </c>
      <c r="N102" s="9">
        <v>97.028190999999993</v>
      </c>
      <c r="O102" s="9">
        <v>70.907809999999998</v>
      </c>
      <c r="P102" s="10">
        <v>268.55290300000001</v>
      </c>
      <c r="Q102" s="10">
        <v>185.45786000000001</v>
      </c>
      <c r="R102" s="10">
        <v>83.095070000000007</v>
      </c>
      <c r="S102" s="9">
        <v>0.62533761550885181</v>
      </c>
      <c r="T102" s="9">
        <v>2</v>
      </c>
      <c r="U102" s="9">
        <v>0</v>
      </c>
      <c r="V102" s="9">
        <v>0</v>
      </c>
      <c r="W102" s="9">
        <v>2</v>
      </c>
      <c r="X102" s="10">
        <v>3</v>
      </c>
      <c r="Y102" s="10">
        <v>1</v>
      </c>
      <c r="Z102" s="10">
        <v>2</v>
      </c>
      <c r="AA102" s="10">
        <v>6</v>
      </c>
      <c r="AB102" s="9">
        <v>3</v>
      </c>
      <c r="AC102" s="11">
        <f t="shared" si="5"/>
        <v>1.74790079585742</v>
      </c>
    </row>
    <row r="103" spans="1:29" ht="17">
      <c r="A103" s="2" t="s">
        <v>125</v>
      </c>
      <c r="B103" s="2">
        <v>4370</v>
      </c>
      <c r="C103" s="2" t="s">
        <v>121</v>
      </c>
      <c r="D103" s="2">
        <v>2060</v>
      </c>
      <c r="E103" s="2" t="s">
        <v>209</v>
      </c>
      <c r="F103" s="2">
        <v>71.3</v>
      </c>
      <c r="G103" s="2">
        <v>28.892005610098177</v>
      </c>
      <c r="H103" s="9">
        <v>-6.1219999999999999</v>
      </c>
      <c r="I103" s="2" t="s">
        <v>157</v>
      </c>
      <c r="J103" s="2">
        <v>72</v>
      </c>
      <c r="K103" s="9">
        <v>30.571999999999999</v>
      </c>
      <c r="L103" s="9">
        <v>2.355096166426796</v>
      </c>
      <c r="M103" s="9">
        <v>167.93623199999999</v>
      </c>
      <c r="N103" s="9">
        <v>97.028190999999993</v>
      </c>
      <c r="O103" s="9">
        <v>70.907809999999998</v>
      </c>
      <c r="P103" s="10">
        <v>320.9597</v>
      </c>
      <c r="Q103" s="10">
        <v>180.52893700000001</v>
      </c>
      <c r="R103" s="10">
        <v>140.43079800000001</v>
      </c>
      <c r="S103" s="9">
        <v>0.52323152096665093</v>
      </c>
      <c r="T103" s="9">
        <v>2</v>
      </c>
      <c r="U103" s="9">
        <v>0</v>
      </c>
      <c r="V103" s="9">
        <v>0</v>
      </c>
      <c r="W103" s="9">
        <v>2</v>
      </c>
      <c r="X103" s="10">
        <v>2</v>
      </c>
      <c r="Y103" s="10">
        <v>14</v>
      </c>
      <c r="Z103" s="10">
        <v>1</v>
      </c>
      <c r="AA103" s="10">
        <v>17</v>
      </c>
      <c r="AB103" s="9">
        <v>8.5</v>
      </c>
      <c r="AC103" s="11">
        <f t="shared" si="5"/>
        <v>1.0232315209666509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GONG Jinhua</cp:lastModifiedBy>
  <dcterms:created xsi:type="dcterms:W3CDTF">2019-03-20T12:04:32Z</dcterms:created>
  <dcterms:modified xsi:type="dcterms:W3CDTF">2026-04-19T13:01:43Z</dcterms:modified>
</cp:coreProperties>
</file>